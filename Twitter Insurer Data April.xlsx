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KO" sheetId="1" r:id="rId4"/>
    <sheet state="visible" name="Aditya Birla" sheetId="2" r:id="rId5"/>
    <sheet state="visible" name="Bajaj General" sheetId="3" r:id="rId6"/>
    <sheet state="visible" name="Care Health" sheetId="4" r:id="rId7"/>
    <sheet state="visible" name="Cholamandalam" sheetId="5" r:id="rId8"/>
    <sheet state="visible" name="Digit Insurance" sheetId="6" r:id="rId9"/>
    <sheet state="visible" name="Generali Central" sheetId="7" r:id="rId10"/>
    <sheet state="visible" name="HDFC ERGO" sheetId="8" r:id="rId11"/>
    <sheet state="visible" name="ICICI Lombard" sheetId="9" r:id="rId12"/>
    <sheet state="visible" name="IFFCO Tokio" sheetId="10" r:id="rId13"/>
    <sheet state="visible" name="Manipal Cigna" sheetId="11" r:id="rId14"/>
    <sheet state="visible" name="Navi Health" sheetId="12" r:id="rId15"/>
    <sheet state="visible" name="New India" sheetId="13" r:id="rId16"/>
    <sheet state="visible" name="Niva Bupa" sheetId="14" r:id="rId17"/>
    <sheet state="visible" name="Oriental Ins" sheetId="15" r:id="rId18"/>
    <sheet state="visible" name="Reliance" sheetId="16" r:id="rId19"/>
    <sheet state="visible" name="Royal Sundaram" sheetId="17" r:id="rId20"/>
    <sheet state="visible" name="SBI General" sheetId="18" r:id="rId21"/>
    <sheet state="visible" name="Star Health" sheetId="19" r:id="rId22"/>
    <sheet state="visible" name="Tata AIG" sheetId="20" r:id="rId23"/>
    <sheet state="visible" name="United India" sheetId="21" r:id="rId24"/>
    <sheet state="visible" name="Universal Sompo" sheetId="22" r:id="rId25"/>
    <sheet state="visible" name="Zuno" sheetId="23" r:id="rId26"/>
    <sheet state="visible" name="Zurich Kotak" sheetId="24" r:id="rId27"/>
    <sheet state="visible" name="ShreeRam Insurance" sheetId="25" r:id="rId28"/>
    <sheet state="visible" name="National Insurance" sheetId="26" r:id="rId29"/>
  </sheets>
  <definedNames/>
  <calcPr/>
  <extLst>
    <ext uri="GoogleSheetsCustomDataVersion2">
      <go:sheetsCustomData xmlns:go="http://customooxmlschemas.google.com/" r:id="rId30" roundtripDataChecksum="/4qnNuHk7OEltktim/u9WVjk+3O4h3G4CUjU5f7uox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ID#AAACDO97ATg
Aakansha Jain    (2026-07-17 06:39:51)
This is 2-wheeler claim.</t>
      </text>
    </comment>
  </commentList>
  <extLst>
    <ext uri="GoogleSheetsCustomDataVersion2">
      <go:sheetsCustomData xmlns:go="http://customooxmlschemas.google.com/" r:id="rId1" roundtripDataSignature="AMtx7mj2M1lcjdZpt/Aa9iQmBE8z07Maz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ID#AAACDO97ATo
Aakansha Jain    (2026-07-17 06:41:53)
Not specific whether it is health insurance related query - we don't take such tweets.</t>
      </text>
    </comment>
    <comment authorId="0" ref="B11">
      <text>
        <t xml:space="preserve">======
ID#AAACDO97ATk
Aakansha Jain    (2026-07-17 06:41:48)
Not specific whether it is health insurance related query - we don't take such tweets.</t>
      </text>
    </comment>
  </commentList>
  <extLst>
    <ext uri="GoogleSheetsCustomDataVersion2">
      <go:sheetsCustomData xmlns:go="http://customooxmlschemas.google.com/" r:id="rId1" roundtripDataSignature="AMtx7mjrobjP0eSp9aD5pzhe+aEgXFH2t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ID#AAACDO97ATs
Aakansha Jain    (2026-07-17 06:42:29)
This is car insurance claim.</t>
      </text>
    </comment>
  </commentList>
  <extLst>
    <ext uri="GoogleSheetsCustomDataVersion2">
      <go:sheetsCustomData xmlns:go="http://customooxmlschemas.google.com/" r:id="rId1" roundtripDataSignature="AMtx7mj61r+WgSjttoI17CyOjTuH3bwbAg=="/>
    </ext>
  </extLst>
</comments>
</file>

<file path=xl/sharedStrings.xml><?xml version="1.0" encoding="utf-8"?>
<sst xmlns="http://schemas.openxmlformats.org/spreadsheetml/2006/main" count="26841" uniqueCount="3534">
  <si>
    <t>Insurer</t>
  </si>
  <si>
    <t>Link</t>
  </si>
  <si>
    <t>1st Time Stamp</t>
  </si>
  <si>
    <t>2nd Time Stamp</t>
  </si>
  <si>
    <t>3rd Time Stamp</t>
  </si>
  <si>
    <t>4th Time Stamp</t>
  </si>
  <si>
    <t>5th Time Stamp</t>
  </si>
  <si>
    <t>6th Time Stamp</t>
  </si>
  <si>
    <t>7th Time Stamp</t>
  </si>
  <si>
    <t>8th Time Stamp</t>
  </si>
  <si>
    <t>9th Time Stamp</t>
  </si>
  <si>
    <t>FRT (First Response Time) (in Hrs)</t>
  </si>
  <si>
    <t>Second Response Time (in Hrs)</t>
  </si>
  <si>
    <t>Third Response Time (in Hrs)</t>
  </si>
  <si>
    <t>Fourth Response Time (in Hrs)</t>
  </si>
  <si>
    <t>Fifth Response Time (in Hrs)</t>
  </si>
  <si>
    <t>Sixth Response Time (in Hrs)</t>
  </si>
  <si>
    <t>Seventh Response Time (in Hrs)</t>
  </si>
  <si>
    <t>Eigth Response Time (in Hrs)</t>
  </si>
  <si>
    <t>Ninth Response Time (in Hrs)</t>
  </si>
  <si>
    <t>ART (Average Response Time) - per thread (in Hrs)</t>
  </si>
  <si>
    <t>FRT less than 1 day
(10)</t>
  </si>
  <si>
    <t>FRT &gt;1 Day &lt;3 days
(5)</t>
  </si>
  <si>
    <t>FRT more than 3 days
(-10)</t>
  </si>
  <si>
    <t>Points</t>
  </si>
  <si>
    <t>Marks</t>
  </si>
  <si>
    <t>Score Methodology</t>
  </si>
  <si>
    <t>Customer</t>
  </si>
  <si>
    <t>Acko General Insurance Co. Ltd.</t>
  </si>
  <si>
    <r>
      <rPr>
        <rFont val="Arial"/>
        <sz val="9.0"/>
        <u/>
      </rPr>
      <t>https://x.com/Jayasi_Kumar/status/2044137018343731214</t>
    </r>
    <r>
      <rPr>
        <rFont val="Arial"/>
        <sz val="9.0"/>
      </rPr>
      <t xml:space="preserve"> </t>
    </r>
  </si>
  <si>
    <t>15/04/2026 01:03</t>
  </si>
  <si>
    <t>15/04/2026 07:02</t>
  </si>
  <si>
    <t>15/04/2026 08:22</t>
  </si>
  <si>
    <t>NA</t>
  </si>
  <si>
    <t>TRUE</t>
  </si>
  <si>
    <t>FALSE</t>
  </si>
  <si>
    <t>https://x.com/vagabond_sid/status/2041951770528903293</t>
  </si>
  <si>
    <t>09/04/2026 00:20</t>
  </si>
  <si>
    <t>09/04/2026 07:08</t>
  </si>
  <si>
    <t>09/04/2026 11:24</t>
  </si>
  <si>
    <t>10/04/2026 09:30</t>
  </si>
  <si>
    <t>https://x.com/bksatpathy/status/2040414897251799066</t>
  </si>
  <si>
    <t>04/04/2026 18:33</t>
  </si>
  <si>
    <t>https://x.com/bksatpathy/status/2040413785777905948</t>
  </si>
  <si>
    <t>04/04/2026 18:28</t>
  </si>
  <si>
    <t>https://x.com/Ashish452252851/status/2039957809601872314</t>
  </si>
  <si>
    <t>03/04/2026 12:16</t>
  </si>
  <si>
    <t>https://x.com/ITISDAB/status/2039617352992735539</t>
  </si>
  <si>
    <t>02/04/2026 13:44</t>
  </si>
  <si>
    <t>Aditya Birla Health Insurance Co. Ltd.</t>
  </si>
  <si>
    <r>
      <rPr>
        <rFont val="Arial"/>
        <color rgb="FF000000"/>
        <sz val="9.0"/>
        <u/>
      </rPr>
      <t>https://x.com/nikeshkataria11/status/2049466151739207935</t>
    </r>
    <r>
      <rPr>
        <rFont val="Arial"/>
        <color rgb="FF000000"/>
        <sz val="9.0"/>
      </rPr>
      <t xml:space="preserve"> </t>
    </r>
  </si>
  <si>
    <t>29/04/2026 17:59</t>
  </si>
  <si>
    <t>29/04/2026 19:07</t>
  </si>
  <si>
    <t>29/04/2026 18:01</t>
  </si>
  <si>
    <t>29/04/2026 19:08</t>
  </si>
  <si>
    <t>29/04/2026 21:01</t>
  </si>
  <si>
    <t>30/04/2026 20:41</t>
  </si>
  <si>
    <t>30/04/2026 11:04</t>
  </si>
  <si>
    <t>30/04/2026 11:05</t>
  </si>
  <si>
    <t>30/04/2026 20:13</t>
  </si>
  <si>
    <t>30/04/2026 22:02</t>
  </si>
  <si>
    <t>FRT &lt; 1 day : 10
FRT = 1 to 3 days : 5
FRT &gt; 3 days : -10</t>
  </si>
  <si>
    <r>
      <rPr>
        <rFont val="Arial"/>
        <color rgb="FF000000"/>
        <sz val="9.0"/>
        <u/>
      </rPr>
      <t>https://x.com/bizsprite/status/2049387169102590030</t>
    </r>
    <r>
      <rPr>
        <rFont val="Arial"/>
        <color rgb="FF000000"/>
        <sz val="9.0"/>
      </rPr>
      <t xml:space="preserve"> </t>
    </r>
  </si>
  <si>
    <t>29/04/2026 12:45</t>
  </si>
  <si>
    <t>29/04/2026 13:57</t>
  </si>
  <si>
    <r>
      <rPr>
        <rFont val="Arial"/>
        <color rgb="FF000000"/>
        <sz val="9.0"/>
        <u/>
      </rPr>
      <t>https://x.com/gourab19964u/status/2049156027661390299</t>
    </r>
    <r>
      <rPr>
        <rFont val="Arial"/>
        <color rgb="FF000000"/>
        <sz val="9.0"/>
      </rPr>
      <t xml:space="preserve"> </t>
    </r>
  </si>
  <si>
    <t>28/04/2026 21:27</t>
  </si>
  <si>
    <t>28/04/2026 21:31</t>
  </si>
  <si>
    <t>28/04/2026 21:38</t>
  </si>
  <si>
    <t>28/04/2026 21:39</t>
  </si>
  <si>
    <t>28/04/2026 21:40</t>
  </si>
  <si>
    <t>28/04/2026 22:04</t>
  </si>
  <si>
    <r>
      <rPr>
        <rFont val="Arial"/>
        <color rgb="FF000000"/>
        <sz val="9.0"/>
        <u/>
      </rPr>
      <t>https://x.com/AviPharmdesk/status/2048231783712567499</t>
    </r>
    <r>
      <rPr>
        <rFont val="Arial"/>
        <color rgb="FF000000"/>
        <sz val="9.0"/>
      </rPr>
      <t xml:space="preserve"> </t>
    </r>
  </si>
  <si>
    <t>26/04/2026 08:14</t>
  </si>
  <si>
    <t>26/04/2026 08:21</t>
  </si>
  <si>
    <r>
      <rPr>
        <rFont val="Arial"/>
        <color rgb="FF000000"/>
        <sz val="9.0"/>
        <u/>
      </rPr>
      <t>https://x.com/sumon_sanyal/status/2048066530756472891</t>
    </r>
    <r>
      <rPr>
        <rFont val="Arial"/>
        <color rgb="FF000000"/>
        <sz val="9.0"/>
      </rPr>
      <t xml:space="preserve"> </t>
    </r>
  </si>
  <si>
    <t>25/04/2026 21:18</t>
  </si>
  <si>
    <r>
      <rPr>
        <rFont val="Arial"/>
        <color rgb="FF000000"/>
        <sz val="9.0"/>
        <u/>
      </rPr>
      <t>https://x.com/Manikkoduri/status/2048032132703146154</t>
    </r>
    <r>
      <rPr>
        <rFont val="Arial"/>
        <color rgb="FF000000"/>
        <sz val="9.0"/>
      </rPr>
      <t xml:space="preserve"> </t>
    </r>
  </si>
  <si>
    <t>25/04/2026 19:01</t>
  </si>
  <si>
    <t>25/04/2026 19:02</t>
  </si>
  <si>
    <t>26/04/2026 20:46</t>
  </si>
  <si>
    <r>
      <rPr>
        <rFont val="Arial"/>
        <color rgb="FF000000"/>
        <sz val="9.0"/>
        <u/>
      </rPr>
      <t>https://x.com/wasimkhan1432/status/2047681741306130483</t>
    </r>
    <r>
      <rPr>
        <rFont val="Arial"/>
        <color rgb="FF000000"/>
        <sz val="9.0"/>
      </rPr>
      <t xml:space="preserve"> </t>
    </r>
  </si>
  <si>
    <t>24/04/2026 19:49</t>
  </si>
  <si>
    <r>
      <rPr>
        <rFont val="Arial"/>
        <color rgb="FF000000"/>
        <sz val="9.0"/>
        <u/>
      </rPr>
      <t>https://x.com/wasimkhan1432/status/2047540282137444850</t>
    </r>
    <r>
      <rPr>
        <rFont val="Arial"/>
        <color rgb="FF000000"/>
        <sz val="9.0"/>
      </rPr>
      <t xml:space="preserve"> </t>
    </r>
  </si>
  <si>
    <t>24/04/2026 10:26</t>
  </si>
  <si>
    <t>24/04/2026 10:30</t>
  </si>
  <si>
    <t>24/04/2026 11:05</t>
  </si>
  <si>
    <t>24/04/2026 13:41</t>
  </si>
  <si>
    <t>24/04/2026 11:32</t>
  </si>
  <si>
    <t>24/04/2026 19:52</t>
  </si>
  <si>
    <t>24/04/2026 12:12</t>
  </si>
  <si>
    <t>27/04/2026 13:03</t>
  </si>
  <si>
    <t>24/04/2026 13:37</t>
  </si>
  <si>
    <t>24/04/2026 19:56</t>
  </si>
  <si>
    <r>
      <rPr>
        <rFont val="Arial"/>
        <color rgb="FF000000"/>
        <sz val="9.0"/>
        <u/>
      </rPr>
      <t>https://x.com/prem48402915/status/2047680051987272059</t>
    </r>
    <r>
      <rPr>
        <rFont val="Arial"/>
        <color rgb="FF000000"/>
        <sz val="9.0"/>
      </rPr>
      <t xml:space="preserve"> </t>
    </r>
  </si>
  <si>
    <t>24/04/2026 19:42</t>
  </si>
  <si>
    <t>24/04/2026 19:58</t>
  </si>
  <si>
    <r>
      <rPr>
        <rFont val="Arial"/>
        <color rgb="FF000000"/>
        <sz val="9.0"/>
        <u/>
      </rPr>
      <t>https://x.com/wasimkhan1432/status/2047540282137444850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</si>
  <si>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https://x.com/wasimkhan1432/status/2047328033162535243</t>
    </r>
    <r>
      <rPr>
        <rFont val="Arial"/>
        <color rgb="FF000000"/>
        <sz val="9.0"/>
      </rPr>
      <t xml:space="preserve"> </t>
    </r>
  </si>
  <si>
    <t>23/04/2026 20:23</t>
  </si>
  <si>
    <t>23/04/2026 20:56</t>
  </si>
  <si>
    <r>
      <rPr>
        <rFont val="Arial"/>
        <color rgb="FF000000"/>
        <sz val="9.0"/>
        <u/>
      </rPr>
      <t>https://x.com/wasimkhan1432/status/2047327859153440951</t>
    </r>
    <r>
      <rPr>
        <rFont val="Arial"/>
        <color rgb="FF000000"/>
        <sz val="9.0"/>
      </rPr>
      <t xml:space="preserve"> </t>
    </r>
  </si>
  <si>
    <t>23/04/2026 20:22</t>
  </si>
  <si>
    <r>
      <rPr>
        <rFont val="Arial"/>
        <color rgb="FF000000"/>
        <sz val="9.0"/>
        <u/>
      </rPr>
      <t>https://x.com/dravyaj1996/status/2047288556494963066</t>
    </r>
    <r>
      <rPr>
        <rFont val="Arial"/>
        <color rgb="FF000000"/>
        <sz val="9.0"/>
      </rPr>
      <t xml:space="preserve"> </t>
    </r>
  </si>
  <si>
    <t>23/04/2026 17:46</t>
  </si>
  <si>
    <t>13/05/2026 20:44</t>
  </si>
  <si>
    <t>24/04/2026 12:06</t>
  </si>
  <si>
    <t>14/05/2026 11:07</t>
  </si>
  <si>
    <t>24/04/2026 13:03</t>
  </si>
  <si>
    <t>18/05/2026 19:13</t>
  </si>
  <si>
    <t>28/04/2026 19:56</t>
  </si>
  <si>
    <t>01/05/2026 17:59</t>
  </si>
  <si>
    <t>03/05/2026 16:01</t>
  </si>
  <si>
    <t>05/05/2026 16:22</t>
  </si>
  <si>
    <t>11/05/2026 15:24</t>
  </si>
  <si>
    <t>13/05/2026 20:32</t>
  </si>
  <si>
    <r>
      <rPr>
        <rFont val="Arial"/>
        <color rgb="FF000000"/>
        <sz val="9.0"/>
        <u/>
      </rPr>
      <t>https://x.com/apmspresident/status/2047168899880538410</t>
    </r>
    <r>
      <rPr>
        <rFont val="Arial"/>
        <color rgb="FF000000"/>
        <sz val="9.0"/>
      </rPr>
      <t xml:space="preserve"> </t>
    </r>
  </si>
  <si>
    <t>23/04/2026 09:51</t>
  </si>
  <si>
    <t>23/04/2026 10:03</t>
  </si>
  <si>
    <r>
      <rPr>
        <rFont val="Arial"/>
        <color rgb="FF000000"/>
        <sz val="9.0"/>
        <u/>
      </rPr>
      <t>https://x.com/me_divyansh/status/2046984276483473836</t>
    </r>
    <r>
      <rPr>
        <rFont val="Arial"/>
        <color rgb="FF000000"/>
        <sz val="9.0"/>
      </rPr>
      <t xml:space="preserve"> </t>
    </r>
  </si>
  <si>
    <t>22/04/2026 21:37</t>
  </si>
  <si>
    <t>22/04/2026 21:43</t>
  </si>
  <si>
    <r>
      <rPr>
        <rFont val="Arial"/>
        <color rgb="FF000000"/>
        <sz val="9.0"/>
        <u/>
      </rPr>
      <t>https://x.com/apmspresident/status/2046944521649553690</t>
    </r>
    <r>
      <rPr>
        <rFont val="Arial"/>
        <color rgb="FF000000"/>
        <sz val="9.0"/>
      </rPr>
      <t xml:space="preserve"> </t>
    </r>
  </si>
  <si>
    <t>22/04/2026 18:59</t>
  </si>
  <si>
    <t>22/04/2026 19:21</t>
  </si>
  <si>
    <r>
      <rPr>
        <rFont val="Arial"/>
        <color rgb="FF000000"/>
        <sz val="9.0"/>
        <u/>
      </rPr>
      <t>https://x.com/anshulaman968/status/2046820201677943081</t>
    </r>
    <r>
      <rPr>
        <rFont val="Arial"/>
        <color rgb="FF000000"/>
        <sz val="9.0"/>
      </rPr>
      <t xml:space="preserve"> </t>
    </r>
  </si>
  <si>
    <t>22/04/2026 10:45</t>
  </si>
  <si>
    <r>
      <rPr>
        <rFont val="Arial"/>
        <color rgb="FF000000"/>
        <sz val="9.0"/>
        <u/>
      </rPr>
      <t>https://x.com/apmspresident/status/2046457099803312385</t>
    </r>
    <r>
      <rPr>
        <rFont val="Arial"/>
        <color rgb="FF000000"/>
        <sz val="9.0"/>
      </rPr>
      <t xml:space="preserve"> </t>
    </r>
  </si>
  <si>
    <t>21/04/2026 10:42</t>
  </si>
  <si>
    <t>21/04/2026 10:46</t>
  </si>
  <si>
    <t>22/04/2026 14:49</t>
  </si>
  <si>
    <r>
      <rPr>
        <rFont val="Arial"/>
        <color rgb="FF000000"/>
        <sz val="9.0"/>
        <u/>
      </rPr>
      <t>https://x.com/wasimkhan1432/status/2046137781144141886</t>
    </r>
    <r>
      <rPr>
        <rFont val="Arial"/>
        <color rgb="FF000000"/>
        <sz val="9.0"/>
      </rPr>
      <t xml:space="preserve"> </t>
    </r>
  </si>
  <si>
    <t>20/04/2026 13:33</t>
  </si>
  <si>
    <t>20/04/2026 13:38</t>
  </si>
  <si>
    <t>21/04/2026 12:06</t>
  </si>
  <si>
    <t>24/04/2026 11:04</t>
  </si>
  <si>
    <r>
      <rPr>
        <rFont val="Arial"/>
        <color rgb="FF000000"/>
        <sz val="9.0"/>
        <u/>
      </rPr>
      <t>https://x.com/wasimkhan1432/status/2045753698559942741</t>
    </r>
    <r>
      <rPr>
        <rFont val="Arial"/>
        <color rgb="FF000000"/>
        <sz val="9.0"/>
      </rPr>
      <t xml:space="preserve"> </t>
    </r>
  </si>
  <si>
    <t>19/04/2026 12:07</t>
  </si>
  <si>
    <r>
      <rPr>
        <rFont val="Arial"/>
        <color rgb="FF000000"/>
        <sz val="9.0"/>
        <u/>
      </rPr>
      <t>https://x.com/lovys_world/status/2045858681322106912</t>
    </r>
    <r>
      <rPr>
        <rFont val="Arial"/>
        <color rgb="FF000000"/>
        <sz val="9.0"/>
      </rPr>
      <t xml:space="preserve"> </t>
    </r>
  </si>
  <si>
    <t>19/04/2026 19:04</t>
  </si>
  <si>
    <t>19/04/2026 19:13</t>
  </si>
  <si>
    <t>19/04/2026 20:10</t>
  </si>
  <si>
    <t>20/04/2026 21:25</t>
  </si>
  <si>
    <t>20/04/2026 21:24</t>
  </si>
  <si>
    <t>21/04/2026 11:44</t>
  </si>
  <si>
    <t>21/04/2026 12:26</t>
  </si>
  <si>
    <r>
      <rPr>
        <rFont val="Arial"/>
        <color rgb="FF000000"/>
        <sz val="9.0"/>
        <u/>
      </rPr>
      <t>https://x.com/iam_vishwaraj/status/2045791774967292401</t>
    </r>
    <r>
      <rPr>
        <rFont val="Arial"/>
        <color rgb="FF000000"/>
        <sz val="9.0"/>
      </rPr>
      <t xml:space="preserve"> </t>
    </r>
  </si>
  <si>
    <t>19/04/2026 14:39</t>
  </si>
  <si>
    <r>
      <rPr>
        <rFont val="Arial"/>
        <color rgb="FF000000"/>
        <sz val="9.0"/>
        <u/>
      </rPr>
      <t>https://x.com/JankiNandan/status/2045780074247733450</t>
    </r>
    <r>
      <rPr>
        <rFont val="Arial"/>
        <color rgb="FF000000"/>
        <sz val="9.0"/>
      </rPr>
      <t xml:space="preserve"> </t>
    </r>
  </si>
  <si>
    <t>19/04/2026 13:52</t>
  </si>
  <si>
    <t>19/04/2026 13:57</t>
  </si>
  <si>
    <r>
      <rPr>
        <rFont val="Arial"/>
        <color rgb="FF000000"/>
        <sz val="9.0"/>
        <u/>
      </rPr>
      <t>https://x.com/SarojKansabani1/status/2045562436535845010</t>
    </r>
    <r>
      <rPr>
        <rFont val="Arial"/>
        <color rgb="FF000000"/>
        <sz val="9.0"/>
      </rPr>
      <t xml:space="preserve"> </t>
    </r>
  </si>
  <si>
    <t>18/04/2026 23:27</t>
  </si>
  <si>
    <t>18/04/2026 23:29</t>
  </si>
  <si>
    <t>18/04/2026 23:40</t>
  </si>
  <si>
    <r>
      <rPr>
        <rFont val="Arial"/>
        <color rgb="FF000000"/>
        <sz val="9.0"/>
        <u/>
      </rPr>
      <t>https://x.com/NilanjanSirkar/status/2044930095068918082</t>
    </r>
    <r>
      <rPr>
        <rFont val="Arial"/>
        <color rgb="FF000000"/>
        <sz val="9.0"/>
      </rPr>
      <t xml:space="preserve"> </t>
    </r>
  </si>
  <si>
    <t>17/04/2026 05:35</t>
  </si>
  <si>
    <t>17/04/2026 08:12</t>
  </si>
  <si>
    <r>
      <rPr>
        <rFont val="Arial"/>
        <color rgb="FF000000"/>
        <sz val="9.0"/>
        <u/>
      </rPr>
      <t>https://x.com/PursnaniSumit/status/2044690501119656098</t>
    </r>
    <r>
      <rPr>
        <rFont val="Arial"/>
        <color rgb="FF000000"/>
        <sz val="9.0"/>
      </rPr>
      <t xml:space="preserve"> </t>
    </r>
  </si>
  <si>
    <t>16/04/2026 13:42</t>
  </si>
  <si>
    <t>16/04/2026 13:52</t>
  </si>
  <si>
    <t>21/04/2026 23:56</t>
  </si>
  <si>
    <r>
      <rPr>
        <rFont val="Arial"/>
        <color rgb="FF000000"/>
        <sz val="9.0"/>
        <u/>
      </rPr>
      <t>https://x.com/gingerngarlic88/status/2044319937490260452</t>
    </r>
    <r>
      <rPr>
        <rFont val="Arial"/>
        <color rgb="FF000000"/>
        <sz val="9.0"/>
      </rPr>
      <t xml:space="preserve"> </t>
    </r>
  </si>
  <si>
    <t>15/04/2026 13:10</t>
  </si>
  <si>
    <t>15/04/2026 13:14</t>
  </si>
  <si>
    <t>15/04/2026 13:15</t>
  </si>
  <si>
    <r>
      <rPr>
        <rFont val="Arial"/>
        <color rgb="FF000000"/>
        <sz val="9.0"/>
        <u/>
      </rPr>
      <t>https://x.com/CeShaik/status/2042847366387261833</t>
    </r>
    <r>
      <rPr>
        <rFont val="Arial"/>
        <color rgb="FF000000"/>
        <sz val="9.0"/>
      </rPr>
      <t xml:space="preserve"> </t>
    </r>
  </si>
  <si>
    <t>11/04/2026 11:39</t>
  </si>
  <si>
    <t>11/04/2026 11:42</t>
  </si>
  <si>
    <t>11/04/2026 11:52</t>
  </si>
  <si>
    <t>11/04/2026 12:09</t>
  </si>
  <si>
    <t>11/04/2026 12:02</t>
  </si>
  <si>
    <t>11/04/2026 12:44</t>
  </si>
  <si>
    <t>11/04/2026 12:45</t>
  </si>
  <si>
    <r>
      <rPr>
        <rFont val="Arial"/>
        <color rgb="FF000000"/>
        <sz val="9.0"/>
        <u/>
      </rPr>
      <t>https://x.com/skaagarwal/status/2042614426025808272</t>
    </r>
    <r>
      <rPr>
        <rFont val="Arial"/>
        <color rgb="FF000000"/>
        <sz val="9.0"/>
      </rPr>
      <t xml:space="preserve"> </t>
    </r>
  </si>
  <si>
    <t>10/04/2026 20:13</t>
  </si>
  <si>
    <t>10/04/2026 20:17</t>
  </si>
  <si>
    <t>10/04/2026 20:18</t>
  </si>
  <si>
    <t>13/04/2026 10:16</t>
  </si>
  <si>
    <t>13/04/2026 10:13</t>
  </si>
  <si>
    <t>20/04/2026 22:08</t>
  </si>
  <si>
    <t>20/04/2026 22:19</t>
  </si>
  <si>
    <t>20/04/2026 22:23</t>
  </si>
  <si>
    <r>
      <rPr>
        <rFont val="Arial"/>
        <color rgb="FF000000"/>
        <sz val="9.0"/>
        <u/>
      </rPr>
      <t>https://x.com/parthapuri1/status/2042240059878109205</t>
    </r>
    <r>
      <rPr>
        <rFont val="Arial"/>
        <color rgb="FF000000"/>
        <sz val="9.0"/>
      </rPr>
      <t xml:space="preserve"> </t>
    </r>
  </si>
  <si>
    <t>09/04/2026 19:25</t>
  </si>
  <si>
    <t>09/04/2026 19:28</t>
  </si>
  <si>
    <t>09/04/2026 23:59</t>
  </si>
  <si>
    <t>14/05/2026 14:34</t>
  </si>
  <si>
    <t>14/05/2026 14:36</t>
  </si>
  <si>
    <t>14/05/2026 14:38</t>
  </si>
  <si>
    <t>20/05/2026 12:16</t>
  </si>
  <si>
    <r>
      <rPr>
        <rFont val="Arial"/>
        <color rgb="FF000000"/>
        <sz val="9.0"/>
        <u/>
      </rPr>
      <t>https://x.com/parthapuri1/status/2042220025713737964</t>
    </r>
    <r>
      <rPr>
        <rFont val="Arial"/>
        <color rgb="FF000000"/>
        <sz val="9.0"/>
      </rPr>
      <t xml:space="preserve"> </t>
    </r>
  </si>
  <si>
    <t>09/04/2026 18:06</t>
  </si>
  <si>
    <t>09/04/2026 18:10</t>
  </si>
  <si>
    <t>09/04/2026 19:24</t>
  </si>
  <si>
    <t>19/05/2026 21:09</t>
  </si>
  <si>
    <t>14/05/2026 14:37</t>
  </si>
  <si>
    <t>14/05/2026 18:14</t>
  </si>
  <si>
    <t>19/05/2026 21:27</t>
  </si>
  <si>
    <r>
      <rPr>
        <rFont val="Arial"/>
        <color rgb="FF000000"/>
        <sz val="9.0"/>
        <u/>
      </rPr>
      <t>https://x.com/sidhupam77/status/2041911626010653017</t>
    </r>
    <r>
      <rPr>
        <rFont val="Arial"/>
        <color rgb="FF000000"/>
        <sz val="9.0"/>
      </rPr>
      <t xml:space="preserve"> </t>
    </r>
  </si>
  <si>
    <t>08/04/2026 21:40</t>
  </si>
  <si>
    <t>08/04/2026 21:50</t>
  </si>
  <si>
    <t>08/04/2026 22:24</t>
  </si>
  <si>
    <t>08/04/2026 22:26</t>
  </si>
  <si>
    <t>08/04/2026 22:33</t>
  </si>
  <si>
    <t>09/04/2026 18:24</t>
  </si>
  <si>
    <t>09/04/2026 22:21</t>
  </si>
  <si>
    <t>09/04/2026 22:26</t>
  </si>
  <si>
    <t>09/04/2026 23:10</t>
  </si>
  <si>
    <r>
      <rPr>
        <rFont val="Arial"/>
        <color rgb="FF000000"/>
        <sz val="9.0"/>
        <u/>
      </rPr>
      <t>https://x.com/ShikharKusswaha/status/2041554571756212321</t>
    </r>
    <r>
      <rPr>
        <rFont val="Arial"/>
        <color rgb="FF000000"/>
        <sz val="9.0"/>
      </rPr>
      <t xml:space="preserve"> </t>
    </r>
  </si>
  <si>
    <t>07/04/2026 22:01</t>
  </si>
  <si>
    <t>07/04/2026 22:05</t>
  </si>
  <si>
    <t>07/04/2026 22:03</t>
  </si>
  <si>
    <t>07/04/2026 23:42</t>
  </si>
  <si>
    <t>08/04/2026 16:15</t>
  </si>
  <si>
    <t>07/04/2026 23:30</t>
  </si>
  <si>
    <t>08/04/2026 17:36</t>
  </si>
  <si>
    <t>08/04/2026 16:14</t>
  </si>
  <si>
    <t>08/04/2026 21:55</t>
  </si>
  <si>
    <t>14/04/2026 14:50</t>
  </si>
  <si>
    <t>08/04/2026 17:29</t>
  </si>
  <si>
    <t>14/04/2026 16:27</t>
  </si>
  <si>
    <t>08/04/2026 21:47</t>
  </si>
  <si>
    <t>14/04/2026 18:11</t>
  </si>
  <si>
    <t>09/04/2026 18:03</t>
  </si>
  <si>
    <r>
      <rPr>
        <rFont val="Arial"/>
        <color rgb="FF000000"/>
        <sz val="9.0"/>
        <u/>
      </rPr>
      <t>https://x.com/ShikharKusswaha/status/2041554446916968692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</si>
  <si>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https://x.com/anandmk036/status/2041342477668614583</t>
    </r>
    <r>
      <rPr>
        <rFont val="Arial"/>
        <color rgb="FF000000"/>
        <sz val="9.0"/>
      </rPr>
      <t xml:space="preserve"> </t>
    </r>
  </si>
  <si>
    <t>07/04/2026 07:59</t>
  </si>
  <si>
    <t>07/04/2026 08:19</t>
  </si>
  <si>
    <r>
      <rPr>
        <rFont val="Arial"/>
        <color rgb="FF000000"/>
        <sz val="9.0"/>
        <u/>
      </rPr>
      <t>https://x.com/mozafarali/status/2041111325187944530</t>
    </r>
    <r>
      <rPr>
        <rFont val="Arial"/>
        <color rgb="FF000000"/>
        <sz val="9.0"/>
      </rPr>
      <t xml:space="preserve"> </t>
    </r>
  </si>
  <si>
    <t>06/04/2026 16:40</t>
  </si>
  <si>
    <r>
      <rPr>
        <rFont val="Arial"/>
        <color rgb="FF000000"/>
        <sz val="9.0"/>
        <u/>
      </rPr>
      <t>https://x.com/vedantkhanduja/status/2040709284510773325</t>
    </r>
    <r>
      <rPr>
        <rFont val="Arial"/>
        <color rgb="FF000000"/>
        <sz val="9.0"/>
      </rPr>
      <t xml:space="preserve"> </t>
    </r>
  </si>
  <si>
    <t>05/04/2026 14:03</t>
  </si>
  <si>
    <t>05/04/2026 14:22</t>
  </si>
  <si>
    <r>
      <rPr>
        <rFont val="Arial"/>
        <color rgb="FF000000"/>
        <sz val="9.0"/>
        <u/>
      </rPr>
      <t>https://x.com/anurag41091/status/2040680102602920436</t>
    </r>
    <r>
      <rPr>
        <rFont val="Arial"/>
        <color rgb="FF000000"/>
        <sz val="9.0"/>
      </rPr>
      <t xml:space="preserve"> </t>
    </r>
  </si>
  <si>
    <t>05/04/2026 12:07</t>
  </si>
  <si>
    <r>
      <rPr>
        <rFont val="Arial"/>
        <color rgb="FF000000"/>
        <sz val="9.0"/>
        <u/>
      </rPr>
      <t>https://x.com/NehaS671534/status/2040655801791263077</t>
    </r>
    <r>
      <rPr>
        <rFont val="Arial"/>
        <color rgb="FF000000"/>
        <sz val="9.0"/>
      </rPr>
      <t xml:space="preserve"> </t>
    </r>
  </si>
  <si>
    <t>05/04/2026 10:30</t>
  </si>
  <si>
    <r>
      <rPr>
        <rFont val="Arial"/>
        <color rgb="FF000000"/>
        <sz val="9.0"/>
        <u/>
      </rPr>
      <t>https://x.com/SanjayYada7n/status/2040654951307935747</t>
    </r>
    <r>
      <rPr>
        <rFont val="Arial"/>
        <color rgb="FF000000"/>
        <sz val="9.0"/>
      </rPr>
      <t xml:space="preserve"> </t>
    </r>
  </si>
  <si>
    <t>05/04/2026 10:27</t>
  </si>
  <si>
    <t>05/04/2026 10:31</t>
  </si>
  <si>
    <t>05/04/2026 10:44</t>
  </si>
  <si>
    <t>05/04/2026 10:46</t>
  </si>
  <si>
    <t>05/04/2026 11:12</t>
  </si>
  <si>
    <t>05/04/2026 15:24</t>
  </si>
  <si>
    <t>05/04/2026 11:40</t>
  </si>
  <si>
    <t>05/04/2026 16:53</t>
  </si>
  <si>
    <t>05/04/2026 12:51</t>
  </si>
  <si>
    <t>05/04/2026 12:59</t>
  </si>
  <si>
    <t>05/04/2026 14:30</t>
  </si>
  <si>
    <t>05/04/2026 14:31</t>
  </si>
  <si>
    <t>05/04/2026 14:36</t>
  </si>
  <si>
    <r>
      <rPr>
        <rFont val="Arial"/>
        <color rgb="FF000000"/>
        <sz val="9.0"/>
        <u/>
      </rPr>
      <t>https://x.com/anurag41091/status/2040051623251353880</t>
    </r>
    <r>
      <rPr>
        <rFont val="Arial"/>
        <color rgb="FF000000"/>
        <sz val="9.0"/>
      </rPr>
      <t xml:space="preserve"> </t>
    </r>
  </si>
  <si>
    <t>03/04/2026 18:29</t>
  </si>
  <si>
    <t>03/04/2026 18:36</t>
  </si>
  <si>
    <t>03/04/2026 18:39</t>
  </si>
  <si>
    <t>Bajaj General Insurance Co. Ltd.</t>
  </si>
  <si>
    <r>
      <rPr>
        <rFont val="Arial"/>
        <color rgb="FF000000"/>
        <sz val="9.0"/>
        <u/>
      </rPr>
      <t>https://x.com/sinvhal/status/2049322414014898572</t>
    </r>
    <r>
      <rPr>
        <rFont val="Arial"/>
        <color rgb="FF000000"/>
        <sz val="9.0"/>
      </rPr>
      <t xml:space="preserve"> </t>
    </r>
  </si>
  <si>
    <t>29/04/2026 08:28</t>
  </si>
  <si>
    <t>29/04/2026 08:39</t>
  </si>
  <si>
    <r>
      <rPr>
        <rFont val="Arial"/>
        <color rgb="FF000000"/>
        <sz val="9.0"/>
        <u/>
      </rPr>
      <t>https://x.com/sinvhal/status/2048981573769585073</t>
    </r>
    <r>
      <rPr>
        <rFont val="Arial"/>
        <color rgb="FF000000"/>
        <sz val="9.0"/>
      </rPr>
      <t xml:space="preserve"> </t>
    </r>
  </si>
  <si>
    <t>28/04/2026 09:54</t>
  </si>
  <si>
    <t>28/04/2026 09:55</t>
  </si>
  <si>
    <r>
      <rPr>
        <rFont val="Arial"/>
        <color rgb="FF000000"/>
        <sz val="9.0"/>
        <u/>
      </rPr>
      <t>https://x.com/bajajgeneral/status/2048630772576538758</t>
    </r>
    <r>
      <rPr>
        <rFont val="Arial"/>
        <color rgb="FF000000"/>
        <sz val="9.0"/>
      </rPr>
      <t xml:space="preserve"> </t>
    </r>
  </si>
  <si>
    <t>27/04/2026 10:40</t>
  </si>
  <si>
    <r>
      <rPr>
        <rFont val="Arial"/>
        <color rgb="FF000000"/>
        <sz val="9.0"/>
        <u/>
      </rPr>
      <t>https://x.com/SmMahapatro/status/2048738382965342715</t>
    </r>
    <r>
      <rPr>
        <rFont val="Arial"/>
        <color rgb="FF000000"/>
        <sz val="9.0"/>
      </rPr>
      <t xml:space="preserve"> </t>
    </r>
  </si>
  <si>
    <t>27/04/2026 17:47</t>
  </si>
  <si>
    <t>27/04/2026 17:50</t>
  </si>
  <si>
    <t>27/04/2026 17:52</t>
  </si>
  <si>
    <t>27/04/2026 17:59</t>
  </si>
  <si>
    <t>27/04/2026 17:57</t>
  </si>
  <si>
    <r>
      <rPr>
        <rFont val="Arial"/>
        <color rgb="FF000000"/>
        <sz val="9.0"/>
        <u/>
      </rPr>
      <t>https://x.com/sinvhal/status/2048629698884927496</t>
    </r>
    <r>
      <rPr>
        <rFont val="Arial"/>
        <color rgb="FF000000"/>
        <sz val="9.0"/>
      </rPr>
      <t xml:space="preserve"> </t>
    </r>
  </si>
  <si>
    <t>27/04/2026 10:35</t>
  </si>
  <si>
    <r>
      <rPr>
        <rFont val="Arial"/>
        <color rgb="FF000000"/>
        <sz val="9.0"/>
        <u/>
      </rPr>
      <t>https://x.com/bajajgeneral/status/2047522381145751859</t>
    </r>
    <r>
      <rPr>
        <rFont val="Arial"/>
        <color rgb="FF000000"/>
        <sz val="9.0"/>
      </rPr>
      <t xml:space="preserve"> </t>
    </r>
  </si>
  <si>
    <t>24/04/2026 09:15</t>
  </si>
  <si>
    <r>
      <rPr>
        <rFont val="Arial"/>
        <color rgb="FF000000"/>
        <sz val="9.0"/>
        <u/>
      </rPr>
      <t>https://x.com/AnkkitaYadav/status/2047932357743898687</t>
    </r>
    <r>
      <rPr>
        <rFont val="Arial"/>
        <color rgb="FF000000"/>
        <sz val="9.0"/>
      </rPr>
      <t xml:space="preserve"> </t>
    </r>
  </si>
  <si>
    <t>25/04/2026 12:24</t>
  </si>
  <si>
    <t>25/04/2026 12:27</t>
  </si>
  <si>
    <r>
      <rPr>
        <rFont val="Arial"/>
        <color rgb="FF000000"/>
        <sz val="9.0"/>
        <u/>
      </rPr>
      <t>https://x.com/vignesrahul/status/2047720630817312801</t>
    </r>
    <r>
      <rPr>
        <rFont val="Arial"/>
        <color rgb="FF000000"/>
        <sz val="9.0"/>
      </rPr>
      <t xml:space="preserve"> </t>
    </r>
  </si>
  <si>
    <t>24/04/2026 22:23</t>
  </si>
  <si>
    <t>24/04/2026 23:43</t>
  </si>
  <si>
    <t>24/04/2026 23:48</t>
  </si>
  <si>
    <t>25/04/2026 01:00</t>
  </si>
  <si>
    <t>25/04/2026 04:30</t>
  </si>
  <si>
    <t>25/04/2026 07:33</t>
  </si>
  <si>
    <t>25/04/2026 11:40</t>
  </si>
  <si>
    <t>25/04/2026 12:02</t>
  </si>
  <si>
    <t>25/04/2026 12:08</t>
  </si>
  <si>
    <r>
      <rPr>
        <rFont val="Arial"/>
        <color rgb="FF000000"/>
        <sz val="9.0"/>
        <u/>
      </rPr>
      <t>https://x.com/ChetanTweets999/status/2047538246989844809</t>
    </r>
    <r>
      <rPr>
        <rFont val="Arial"/>
        <color rgb="FF000000"/>
        <sz val="9.0"/>
      </rPr>
      <t xml:space="preserve"> </t>
    </r>
  </si>
  <si>
    <t>24/04/2026 10:18</t>
  </si>
  <si>
    <t>24/04/2026 10:22</t>
  </si>
  <si>
    <t>24/04/2026 10:29</t>
  </si>
  <si>
    <t>24/04/2026 10:32</t>
  </si>
  <si>
    <r>
      <rPr>
        <rFont val="Arial"/>
        <color rgb="FF000000"/>
        <sz val="9.0"/>
        <u/>
      </rPr>
      <t>https://x.com/sinvhal/status/2047517430428348760</t>
    </r>
    <r>
      <rPr>
        <rFont val="Arial"/>
        <color rgb="FF000000"/>
        <sz val="9.0"/>
      </rPr>
      <t xml:space="preserve"> </t>
    </r>
  </si>
  <si>
    <t>24/04/2026 08:56</t>
  </si>
  <si>
    <r>
      <rPr>
        <rFont val="Arial"/>
        <color rgb="FF000000"/>
        <sz val="9.0"/>
        <u/>
      </rPr>
      <t>https://x.com/bajajgeneral/status/2047167624203940312</t>
    </r>
    <r>
      <rPr>
        <rFont val="Arial"/>
        <color rgb="FF000000"/>
        <sz val="9.0"/>
      </rPr>
      <t xml:space="preserve"> </t>
    </r>
  </si>
  <si>
    <t>23/04/2026 09:46</t>
  </si>
  <si>
    <r>
      <rPr>
        <rFont val="Arial"/>
        <color rgb="FF000000"/>
        <sz val="9.0"/>
        <u/>
      </rPr>
      <t>https://x.com/Atulg213/status/2047219407714472111</t>
    </r>
    <r>
      <rPr>
        <rFont val="Arial"/>
        <color rgb="FF000000"/>
        <sz val="9.0"/>
      </rPr>
      <t xml:space="preserve"> </t>
    </r>
  </si>
  <si>
    <t>23/04/2026 13:11</t>
  </si>
  <si>
    <t>23/04/2026 13:16</t>
  </si>
  <si>
    <r>
      <rPr>
        <rFont val="Arial"/>
        <color rgb="FF000000"/>
        <sz val="9.0"/>
        <u/>
      </rPr>
      <t>https://x.com/sinvhal/status/2047165019549479373</t>
    </r>
    <r>
      <rPr>
        <rFont val="Arial"/>
        <color rgb="FF000000"/>
        <sz val="9.0"/>
      </rPr>
      <t xml:space="preserve"> </t>
    </r>
  </si>
  <si>
    <t>23/04/2026 09:35</t>
  </si>
  <si>
    <r>
      <rPr>
        <rFont val="Arial"/>
        <color rgb="FF000000"/>
        <sz val="9.0"/>
        <u/>
      </rPr>
      <t>https://x.com/bajajgeneral/status/2046494530925720042</t>
    </r>
    <r>
      <rPr>
        <rFont val="Arial"/>
        <color rgb="FF000000"/>
        <sz val="9.0"/>
      </rPr>
      <t xml:space="preserve"> </t>
    </r>
  </si>
  <si>
    <t>21/04/2026 13:11</t>
  </si>
  <si>
    <r>
      <rPr>
        <rFont val="Arial"/>
        <color rgb="FF000000"/>
        <sz val="9.0"/>
        <u/>
      </rPr>
      <t>https://x.com/NayanPatel0508/status/2046924720466182563</t>
    </r>
    <r>
      <rPr>
        <rFont val="Arial"/>
        <color rgb="FF000000"/>
        <sz val="9.0"/>
      </rPr>
      <t xml:space="preserve"> </t>
    </r>
  </si>
  <si>
    <t>22/04/2026 17:40</t>
  </si>
  <si>
    <t>22/04/2026 17:43</t>
  </si>
  <si>
    <r>
      <rPr>
        <rFont val="Arial"/>
        <color rgb="FF000000"/>
        <sz val="9.0"/>
        <u/>
      </rPr>
      <t>https://x.com/kabirwalia17/status/2046889159680516461</t>
    </r>
    <r>
      <rPr>
        <rFont val="Arial"/>
        <color rgb="FF000000"/>
        <sz val="9.0"/>
      </rPr>
      <t xml:space="preserve"> </t>
    </r>
  </si>
  <si>
    <t>22/04/2026 15:19</t>
  </si>
  <si>
    <t>22/04/2026 15:35</t>
  </si>
  <si>
    <t>23/04/2026 23:54</t>
  </si>
  <si>
    <r>
      <rPr>
        <rFont val="Arial"/>
        <color rgb="FF000000"/>
        <sz val="9.0"/>
        <u/>
      </rPr>
      <t>https://x.com/Steve_JDington/status/2046873096192430081</t>
    </r>
    <r>
      <rPr>
        <rFont val="Arial"/>
        <color rgb="FF000000"/>
        <sz val="9.0"/>
      </rPr>
      <t xml:space="preserve"> </t>
    </r>
  </si>
  <si>
    <t>22/04/2026 14:15</t>
  </si>
  <si>
    <t>22/04/2026 14:17</t>
  </si>
  <si>
    <r>
      <rPr>
        <rFont val="Arial"/>
        <color rgb="FF000000"/>
        <sz val="9.0"/>
        <u/>
      </rPr>
      <t>https://x.com/sinvhal/status/2046492858220523533</t>
    </r>
    <r>
      <rPr>
        <rFont val="Arial"/>
        <color rgb="FF000000"/>
        <sz val="9.0"/>
      </rPr>
      <t xml:space="preserve"> </t>
    </r>
  </si>
  <si>
    <t>21/04/2026 13:04</t>
  </si>
  <si>
    <r>
      <rPr>
        <rFont val="Arial"/>
        <color rgb="FF000000"/>
        <sz val="9.0"/>
        <u/>
      </rPr>
      <t>https://x.com/bajajgeneral/status/2045701696492552357</t>
    </r>
    <r>
      <rPr>
        <rFont val="Arial"/>
        <color rgb="FF000000"/>
        <sz val="9.0"/>
      </rPr>
      <t xml:space="preserve"> </t>
    </r>
  </si>
  <si>
    <t>19/04/2026 08:41</t>
  </si>
  <si>
    <r>
      <rPr>
        <rFont val="Arial"/>
        <color rgb="FF000000"/>
        <sz val="9.0"/>
        <u/>
      </rPr>
      <t>https://x.com/mady_sem/status/2046482174590046436</t>
    </r>
    <r>
      <rPr>
        <rFont val="Arial"/>
        <color rgb="FF000000"/>
        <sz val="9.0"/>
      </rPr>
      <t xml:space="preserve"> </t>
    </r>
  </si>
  <si>
    <t>21/04/2026 12:22</t>
  </si>
  <si>
    <t>21/04/2026 12:25</t>
  </si>
  <si>
    <t>21/04/2026 12:43</t>
  </si>
  <si>
    <t>21/04/2026 15:46</t>
  </si>
  <si>
    <t>21/04/2026 15:45</t>
  </si>
  <si>
    <t>07/05/2026 17:04</t>
  </si>
  <si>
    <t>21/04/2026 16:11</t>
  </si>
  <si>
    <t>21/04/2026 16:38</t>
  </si>
  <si>
    <t>07/05/2026 17:56</t>
  </si>
  <si>
    <r>
      <rPr>
        <rFont val="Arial"/>
        <color rgb="FF000000"/>
        <sz val="9.0"/>
        <u/>
      </rPr>
      <t>https://x.com/amitbansalrss/status/2046462050998906917</t>
    </r>
    <r>
      <rPr>
        <rFont val="Arial"/>
        <color rgb="FF000000"/>
        <sz val="9.0"/>
      </rPr>
      <t xml:space="preserve"> </t>
    </r>
  </si>
  <si>
    <t>21/04/2026 11:02</t>
  </si>
  <si>
    <t>21/04/2026 11:14</t>
  </si>
  <si>
    <t>08/05/2026 21:34</t>
  </si>
  <si>
    <r>
      <rPr>
        <rFont val="Arial"/>
        <color rgb="FF000000"/>
        <sz val="9.0"/>
        <u/>
      </rPr>
      <t>https://x.com/pandey_rav9933/status/2046309196539527636</t>
    </r>
    <r>
      <rPr>
        <rFont val="Arial"/>
        <color rgb="FF000000"/>
        <sz val="9.0"/>
      </rPr>
      <t xml:space="preserve"> </t>
    </r>
  </si>
  <si>
    <t>21/04/2026 00:55</t>
  </si>
  <si>
    <r>
      <rPr>
        <rFont val="Arial"/>
        <color rgb="FF000000"/>
        <sz val="9.0"/>
        <u/>
      </rPr>
      <t>https://x.com/maheshneel/status/2046288874654282134</t>
    </r>
    <r>
      <rPr>
        <rFont val="Arial"/>
        <color rgb="FF000000"/>
        <sz val="9.0"/>
      </rPr>
      <t xml:space="preserve"> </t>
    </r>
  </si>
  <si>
    <t>20/04/2026 23:34</t>
  </si>
  <si>
    <t>20/04/2026 23:35</t>
  </si>
  <si>
    <t>20/04/2026 23:38</t>
  </si>
  <si>
    <t>21/04/2026 10:55</t>
  </si>
  <si>
    <r>
      <rPr>
        <rFont val="Arial"/>
        <color rgb="FF000000"/>
        <sz val="9.0"/>
        <u/>
      </rPr>
      <t>https://x.com/LappuM/status/2046189606690025948</t>
    </r>
    <r>
      <rPr>
        <rFont val="Arial"/>
        <color rgb="FF000000"/>
        <sz val="9.0"/>
      </rPr>
      <t xml:space="preserve"> </t>
    </r>
  </si>
  <si>
    <t>20/04/2026 16:59</t>
  </si>
  <si>
    <t>20/04/2026 17:01</t>
  </si>
  <si>
    <t>20/04/2026 17:10</t>
  </si>
  <si>
    <t>20/04/2026 17:23</t>
  </si>
  <si>
    <t>21/04/2026 15:07</t>
  </si>
  <si>
    <t>21/04/2026 15:13</t>
  </si>
  <si>
    <t>07/05/2026 16:52</t>
  </si>
  <si>
    <r>
      <rPr>
        <rFont val="Arial"/>
        <color rgb="FF000000"/>
        <sz val="9.0"/>
        <u/>
      </rPr>
      <t>https://x.com/amitbansalrss/status/2045738509399707899</t>
    </r>
    <r>
      <rPr>
        <rFont val="Arial"/>
        <color rgb="FF000000"/>
        <sz val="9.0"/>
      </rPr>
      <t xml:space="preserve"> </t>
    </r>
  </si>
  <si>
    <t>19/04/2026 11:07</t>
  </si>
  <si>
    <t>19/04/2026 11:13</t>
  </si>
  <si>
    <t>19/04/2026 16:45</t>
  </si>
  <si>
    <r>
      <rPr>
        <rFont val="Arial"/>
        <color rgb="FF000000"/>
        <sz val="9.0"/>
        <u/>
      </rPr>
      <t>https://x.com/amitbansalrss/status/2045564337952362976</t>
    </r>
    <r>
      <rPr>
        <rFont val="Arial"/>
        <color rgb="FF000000"/>
        <sz val="9.0"/>
      </rPr>
      <t xml:space="preserve"> </t>
    </r>
  </si>
  <si>
    <t>18/04/2026 23:35</t>
  </si>
  <si>
    <t>18/04/2026 23:49</t>
  </si>
  <si>
    <r>
      <rPr>
        <rFont val="Arial"/>
        <color rgb="FF000000"/>
        <sz val="9.0"/>
        <u/>
      </rPr>
      <t>https://x.com/amitbansalrss/status/2045563336184783302</t>
    </r>
    <r>
      <rPr>
        <rFont val="Arial"/>
        <color rgb="FF000000"/>
        <sz val="9.0"/>
      </rPr>
      <t xml:space="preserve"> </t>
    </r>
  </si>
  <si>
    <t>18/04/2026 23:31</t>
  </si>
  <si>
    <r>
      <rPr>
        <rFont val="Arial"/>
        <color rgb="FF000000"/>
        <sz val="9.0"/>
        <u/>
      </rPr>
      <t>https://x.com/_kmldp/status/2045502679674388494</t>
    </r>
    <r>
      <rPr>
        <rFont val="Arial"/>
        <color rgb="FF000000"/>
        <sz val="9.0"/>
      </rPr>
      <t xml:space="preserve"> </t>
    </r>
  </si>
  <si>
    <t>18/04/2026 19:30</t>
  </si>
  <si>
    <t>18/04/2026 19:36</t>
  </si>
  <si>
    <t>22/04/2026 11:04</t>
  </si>
  <si>
    <r>
      <rPr>
        <rFont val="Arial"/>
        <color rgb="FF000000"/>
        <sz val="9.0"/>
        <u/>
      </rPr>
      <t>https://x.com/amitbansalrss/status/2045404765845348449</t>
    </r>
    <r>
      <rPr>
        <rFont val="Arial"/>
        <color rgb="FF000000"/>
        <sz val="9.0"/>
      </rPr>
      <t xml:space="preserve"> </t>
    </r>
  </si>
  <si>
    <t>18/04/2026 13:01</t>
  </si>
  <si>
    <t>18/04/2026 13:02</t>
  </si>
  <si>
    <t>18/04/2026 13:13</t>
  </si>
  <si>
    <t>18/04/2026 13:17</t>
  </si>
  <si>
    <r>
      <rPr>
        <rFont val="Arial"/>
        <color rgb="FF000000"/>
        <sz val="9.0"/>
        <u/>
      </rPr>
      <t>https://x.com/sinvhal/status/2045401557743948082</t>
    </r>
    <r>
      <rPr>
        <rFont val="Arial"/>
        <color rgb="FF000000"/>
        <sz val="9.0"/>
      </rPr>
      <t xml:space="preserve"> </t>
    </r>
  </si>
  <si>
    <t>18/04/2026 12:48</t>
  </si>
  <si>
    <t>18/04/2026 12:49</t>
  </si>
  <si>
    <r>
      <rPr>
        <rFont val="Arial"/>
        <color rgb="FF000000"/>
        <sz val="9.0"/>
        <u/>
      </rPr>
      <t>https://x.com/bajajgeneral/status/2045130691848094057</t>
    </r>
    <r>
      <rPr>
        <rFont val="Arial"/>
        <color rgb="FF000000"/>
        <sz val="9.0"/>
      </rPr>
      <t xml:space="preserve"> </t>
    </r>
  </si>
  <si>
    <t>17/04/2026 18:52</t>
  </si>
  <si>
    <r>
      <rPr>
        <rFont val="Arial"/>
        <color rgb="FF000000"/>
        <sz val="9.0"/>
        <u/>
      </rPr>
      <t>https://x.com/nskelkar/status/2045375875320008773</t>
    </r>
    <r>
      <rPr>
        <rFont val="Arial"/>
        <color rgb="FF000000"/>
        <sz val="9.0"/>
      </rPr>
      <t xml:space="preserve"> </t>
    </r>
  </si>
  <si>
    <t>18/04/2026 11:06</t>
  </si>
  <si>
    <t>18/04/2026 11:09</t>
  </si>
  <si>
    <t>18/04/2026 11:07</t>
  </si>
  <si>
    <t>18/04/2026 11:18</t>
  </si>
  <si>
    <t>18/04/2026 11:13</t>
  </si>
  <si>
    <t>18/04/2026 11:44</t>
  </si>
  <si>
    <t>18/04/2026 11:30</t>
  </si>
  <si>
    <t>20/04/2026 23:29</t>
  </si>
  <si>
    <t>18/04/2026 11:36</t>
  </si>
  <si>
    <t>08/05/2026 21:41</t>
  </si>
  <si>
    <t>20/04/2026 23:25</t>
  </si>
  <si>
    <r>
      <rPr>
        <rFont val="Arial"/>
        <color rgb="FF000000"/>
        <sz val="9.0"/>
        <u/>
      </rPr>
      <t>https://x.com/ashuvoice/status/2045158388968108372</t>
    </r>
    <r>
      <rPr>
        <rFont val="Arial"/>
        <color rgb="FF000000"/>
        <sz val="9.0"/>
      </rPr>
      <t xml:space="preserve"> </t>
    </r>
  </si>
  <si>
    <t>17/04/2026 20:42</t>
  </si>
  <si>
    <t>17/04/2026 20:45</t>
  </si>
  <si>
    <t>17/04/2026 23:30</t>
  </si>
  <si>
    <t>17/04/2026 23:39</t>
  </si>
  <si>
    <t>18/04/2026 15:27</t>
  </si>
  <si>
    <t>28/04/2026 08:45</t>
  </si>
  <si>
    <t>18/04/2026 18:03</t>
  </si>
  <si>
    <t>08/05/2026 21:37</t>
  </si>
  <si>
    <t>18/04/2026 22:42</t>
  </si>
  <si>
    <t>11/05/2026 13:49</t>
  </si>
  <si>
    <t>28/04/2026 07:41</t>
  </si>
  <si>
    <t>11/05/2026 13:45</t>
  </si>
  <si>
    <t>11/05/2026 13:46</t>
  </si>
  <si>
    <t>12/05/2026 18:50</t>
  </si>
  <si>
    <r>
      <rPr>
        <rFont val="Arial"/>
        <color rgb="FF000000"/>
        <sz val="9.0"/>
        <u/>
      </rPr>
      <t>https://x.com/amitbansalrss/status/2045074302824030530</t>
    </r>
    <r>
      <rPr>
        <rFont val="Arial"/>
        <color rgb="FF000000"/>
        <sz val="9.0"/>
      </rPr>
      <t xml:space="preserve"> </t>
    </r>
  </si>
  <si>
    <t>17/04/2026 15:08</t>
  </si>
  <si>
    <t>17/04/2026 15:12</t>
  </si>
  <si>
    <r>
      <rPr>
        <rFont val="Arial"/>
        <color rgb="FF000000"/>
        <sz val="9.0"/>
        <u/>
      </rPr>
      <t>https://x.com/sinvhal/status/2045068102929674470</t>
    </r>
    <r>
      <rPr>
        <rFont val="Arial"/>
        <color rgb="FF000000"/>
        <sz val="9.0"/>
      </rPr>
      <t xml:space="preserve"> </t>
    </r>
  </si>
  <si>
    <t>17/04/2026 14:43</t>
  </si>
  <si>
    <t>17/04/2026 15:15</t>
  </si>
  <si>
    <r>
      <rPr>
        <rFont val="Arial"/>
        <color rgb="FF000000"/>
        <sz val="9.0"/>
        <u/>
      </rPr>
      <t>https://x.com/bajajgeneral/status/2044781928453476437</t>
    </r>
    <r>
      <rPr>
        <rFont val="Arial"/>
        <color rgb="FF000000"/>
        <sz val="9.0"/>
      </rPr>
      <t xml:space="preserve"> </t>
    </r>
  </si>
  <si>
    <t>16/04/2026 19:46</t>
  </si>
  <si>
    <r>
      <rPr>
        <rFont val="Arial"/>
        <color rgb="FF000000"/>
        <sz val="9.0"/>
        <u/>
      </rPr>
      <t>https://x.com/sinvhal/status/2044779552375992819</t>
    </r>
    <r>
      <rPr>
        <rFont val="Arial"/>
        <color rgb="FF000000"/>
        <sz val="9.0"/>
      </rPr>
      <t xml:space="preserve"> </t>
    </r>
  </si>
  <si>
    <t>16/04/2026 19:36</t>
  </si>
  <si>
    <t>17/04/2026 11:05</t>
  </si>
  <si>
    <r>
      <rPr>
        <rFont val="Arial"/>
        <color rgb="FF000000"/>
        <sz val="9.0"/>
        <u/>
      </rPr>
      <t>https://x.com/bajajgeneral/status/2044255635307733431</t>
    </r>
    <r>
      <rPr>
        <rFont val="Arial"/>
        <color rgb="FF000000"/>
        <sz val="9.0"/>
      </rPr>
      <t xml:space="preserve"> </t>
    </r>
  </si>
  <si>
    <t>15/04/2026 08:54</t>
  </si>
  <si>
    <r>
      <rPr>
        <rFont val="Arial"/>
        <color rgb="FF000000"/>
        <sz val="9.0"/>
        <u/>
      </rPr>
      <t>https://x.com/manishiet/status/2044755927908417660</t>
    </r>
    <r>
      <rPr>
        <rFont val="Arial"/>
        <color rgb="FF000000"/>
        <sz val="9.0"/>
      </rPr>
      <t xml:space="preserve"> </t>
    </r>
  </si>
  <si>
    <t>16/04/2026 18:02</t>
  </si>
  <si>
    <t>16/04/2026 18:11</t>
  </si>
  <si>
    <t>16/04/2026 23:12</t>
  </si>
  <si>
    <t>18/04/2026 13:37</t>
  </si>
  <si>
    <t>18/04/2026 13:36</t>
  </si>
  <si>
    <t>18/04/2026 13:43</t>
  </si>
  <si>
    <r>
      <rPr>
        <rFont val="Arial"/>
        <color rgb="FF000000"/>
        <sz val="9.0"/>
        <u/>
      </rPr>
      <t>https://x.com/djbeat2/status/2044396981490163993</t>
    </r>
    <r>
      <rPr>
        <rFont val="Arial"/>
        <color rgb="FF000000"/>
        <sz val="9.0"/>
      </rPr>
      <t xml:space="preserve"> </t>
    </r>
  </si>
  <si>
    <t>15/04/2026 18:16</t>
  </si>
  <si>
    <t>15/04/2026 18:46</t>
  </si>
  <si>
    <t>15/04/2026 20:30</t>
  </si>
  <si>
    <t>15/04/2026 20:51</t>
  </si>
  <si>
    <t>15/04/2026 20:49</t>
  </si>
  <si>
    <t>18/04/2026 14:40</t>
  </si>
  <si>
    <t>15/04/2026 21:10</t>
  </si>
  <si>
    <t>18/04/2026 14:37</t>
  </si>
  <si>
    <r>
      <rPr>
        <rFont val="Arial"/>
        <color rgb="FF000000"/>
        <sz val="9.0"/>
        <u/>
      </rPr>
      <t>https://x.com/sinvhal/status/2044048343828181393</t>
    </r>
    <r>
      <rPr>
        <rFont val="Arial"/>
        <color rgb="FF000000"/>
        <sz val="9.0"/>
      </rPr>
      <t xml:space="preserve"> </t>
    </r>
  </si>
  <si>
    <t>14/04/2026 19:11</t>
  </si>
  <si>
    <t>14/04/2026 19:22</t>
  </si>
  <si>
    <r>
      <rPr>
        <rFont val="Arial"/>
        <color rgb="FF000000"/>
        <sz val="9.0"/>
        <u/>
      </rPr>
      <t>https://x.com/AaratiRhea/status/2044039363013816760</t>
    </r>
    <r>
      <rPr>
        <rFont val="Arial"/>
        <color rgb="FF000000"/>
        <sz val="9.0"/>
      </rPr>
      <t xml:space="preserve"> </t>
    </r>
  </si>
  <si>
    <t>14/04/2026 18:35</t>
  </si>
  <si>
    <t>14/04/2026 18:53</t>
  </si>
  <si>
    <t>14/04/2026 23:35</t>
  </si>
  <si>
    <t>14/04/2026 23:42</t>
  </si>
  <si>
    <t>15/04/2026 09:10</t>
  </si>
  <si>
    <t>16/04/2026 11:06</t>
  </si>
  <si>
    <t>16/04/2026 09:02</t>
  </si>
  <si>
    <t>17/04/2026 00:36</t>
  </si>
  <si>
    <t>16/04/2026 11:05</t>
  </si>
  <si>
    <t>17/04/2026 09:53</t>
  </si>
  <si>
    <t>16/04/2026 22:55</t>
  </si>
  <si>
    <t>17/04/2026 09:27</t>
  </si>
  <si>
    <t>17/04/2026 12:09</t>
  </si>
  <si>
    <r>
      <rPr>
        <rFont val="Arial"/>
        <color rgb="FF000000"/>
        <sz val="9.0"/>
        <u/>
      </rPr>
      <t>https://x.com/DHARMENDRATOMA8/status/2043987826577158623</t>
    </r>
    <r>
      <rPr>
        <rFont val="Arial"/>
        <color rgb="FF000000"/>
        <sz val="9.0"/>
      </rPr>
      <t xml:space="preserve"> </t>
    </r>
  </si>
  <si>
    <t>14/04/2026 15:10</t>
  </si>
  <si>
    <t>14/04/2026 15:20</t>
  </si>
  <si>
    <t>16/04/2026 15:30</t>
  </si>
  <si>
    <t>16/04/2026 15:32</t>
  </si>
  <si>
    <r>
      <rPr>
        <rFont val="Arial"/>
        <color rgb="FF000000"/>
        <sz val="9.0"/>
        <u/>
      </rPr>
      <t>https://x.com/naishaldoshi/status/2043578365769400579</t>
    </r>
    <r>
      <rPr>
        <rFont val="Arial"/>
        <color rgb="FF000000"/>
        <sz val="9.0"/>
      </rPr>
      <t xml:space="preserve"> </t>
    </r>
  </si>
  <si>
    <t>13/04/2026 12:03</t>
  </si>
  <si>
    <t>13/04/2026 12:04</t>
  </si>
  <si>
    <t>13/04/2026 16:48</t>
  </si>
  <si>
    <r>
      <rPr>
        <rFont val="Arial"/>
        <color rgb="FF000000"/>
        <sz val="9.0"/>
        <u/>
      </rPr>
      <t>https://x.com/alokvashisth/status/2043556872549196077</t>
    </r>
    <r>
      <rPr>
        <rFont val="Arial"/>
        <color rgb="FF000000"/>
        <sz val="9.0"/>
      </rPr>
      <t xml:space="preserve"> </t>
    </r>
  </si>
  <si>
    <t>13/04/2026 10:38</t>
  </si>
  <si>
    <t>13/04/2026 10:39</t>
  </si>
  <si>
    <r>
      <rPr>
        <rFont val="Arial"/>
        <color rgb="FF000000"/>
        <sz val="9.0"/>
        <u/>
      </rPr>
      <t>https://x.com/abhisek96/status/2043534372918395330</t>
    </r>
    <r>
      <rPr>
        <rFont val="Arial"/>
        <color rgb="FF000000"/>
        <sz val="9.0"/>
      </rPr>
      <t xml:space="preserve"> </t>
    </r>
  </si>
  <si>
    <t>13/04/2026 09:08</t>
  </si>
  <si>
    <t>13/04/2026 09:09</t>
  </si>
  <si>
    <t>13/04/2026 11:49</t>
  </si>
  <si>
    <t>13/04/2026 17:38</t>
  </si>
  <si>
    <r>
      <rPr>
        <rFont val="Arial"/>
        <color rgb="FF000000"/>
        <sz val="9.0"/>
        <u/>
      </rPr>
      <t>https://x.com/busy_mann/status/2043207221971210340</t>
    </r>
    <r>
      <rPr>
        <rFont val="Arial"/>
        <color rgb="FF000000"/>
        <sz val="9.0"/>
      </rPr>
      <t xml:space="preserve"> </t>
    </r>
  </si>
  <si>
    <t>12/04/2026 11:28</t>
  </si>
  <si>
    <t>12/04/2026 11:31</t>
  </si>
  <si>
    <r>
      <rPr>
        <rFont val="Arial"/>
        <color rgb="FF000000"/>
        <sz val="9.0"/>
        <u/>
      </rPr>
      <t>https://x.com/vjaswal414/status/2043033111794266188</t>
    </r>
    <r>
      <rPr>
        <rFont val="Arial"/>
        <color rgb="FF000000"/>
        <sz val="9.0"/>
      </rPr>
      <t xml:space="preserve"> </t>
    </r>
  </si>
  <si>
    <t>11/04/2026 23:57</t>
  </si>
  <si>
    <t>12/04/2026 08:15</t>
  </si>
  <si>
    <t>11/04/2026 23:59</t>
  </si>
  <si>
    <r>
      <rPr>
        <rFont val="Arial"/>
        <color rgb="FF000000"/>
        <sz val="9.0"/>
        <u/>
      </rPr>
      <t>https://x.com/sinvhal/status/2042997573955571844</t>
    </r>
    <r>
      <rPr>
        <rFont val="Arial"/>
        <color rgb="FF000000"/>
        <sz val="9.0"/>
      </rPr>
      <t xml:space="preserve"> </t>
    </r>
  </si>
  <si>
    <t>11/04/2026 21:35</t>
  </si>
  <si>
    <t>11/04/2026 21:38</t>
  </si>
  <si>
    <r>
      <rPr>
        <rFont val="Arial"/>
        <color rgb="FF000000"/>
        <sz val="9.0"/>
        <u/>
      </rPr>
      <t>https://x.com/RajatRekhi/status/2042834823090475069</t>
    </r>
    <r>
      <rPr>
        <rFont val="Arial"/>
        <color rgb="FF000000"/>
        <sz val="9.0"/>
      </rPr>
      <t xml:space="preserve"> </t>
    </r>
  </si>
  <si>
    <t>11/04/2026 10:49</t>
  </si>
  <si>
    <t>11/04/2026 10:51</t>
  </si>
  <si>
    <t>11/04/2026 11:44</t>
  </si>
  <si>
    <r>
      <rPr>
        <rFont val="Arial"/>
        <color rgb="FF000000"/>
        <sz val="9.0"/>
        <u/>
      </rPr>
      <t>https://x.com/manishiet/status/2042502586222481446</t>
    </r>
    <r>
      <rPr>
        <rFont val="Arial"/>
        <color rgb="FF000000"/>
        <sz val="9.0"/>
      </rPr>
      <t xml:space="preserve"> </t>
    </r>
  </si>
  <si>
    <t>10/04/2026 12:48</t>
  </si>
  <si>
    <t>10/04/2026 12:52</t>
  </si>
  <si>
    <t>10/04/2026 13:25</t>
  </si>
  <si>
    <t>10/04/2026 13:30</t>
  </si>
  <si>
    <t>10/04/2026 14:33</t>
  </si>
  <si>
    <t>10/04/2026 14:52</t>
  </si>
  <si>
    <t>10/04/2026 14:40</t>
  </si>
  <si>
    <t>11/04/2026 18:57</t>
  </si>
  <si>
    <t>10/04/2026 16:24</t>
  </si>
  <si>
    <t>13/04/2026 12:28</t>
  </si>
  <si>
    <t>10/04/2026 17:12</t>
  </si>
  <si>
    <t>10/04/2026 19:38</t>
  </si>
  <si>
    <t>11/04/2026 19:02</t>
  </si>
  <si>
    <r>
      <rPr>
        <rFont val="Arial"/>
        <color rgb="FF000000"/>
        <sz val="9.0"/>
        <u/>
      </rPr>
      <t>https://x.com/Dheeraj42901603/status/2041745457383403719</t>
    </r>
    <r>
      <rPr>
        <rFont val="Arial"/>
        <color rgb="FF000000"/>
        <sz val="9.0"/>
      </rPr>
      <t xml:space="preserve"> </t>
    </r>
  </si>
  <si>
    <t>08/04/2026 10:40</t>
  </si>
  <si>
    <t>08/04/2026 10:42</t>
  </si>
  <si>
    <r>
      <rPr>
        <rFont val="Arial"/>
        <color rgb="FF000000"/>
        <sz val="9.0"/>
        <u/>
      </rPr>
      <t>https://x.com/garodia_/status/2041509609991700931</t>
    </r>
    <r>
      <rPr>
        <rFont val="Arial"/>
        <color rgb="FF000000"/>
        <sz val="9.0"/>
      </rPr>
      <t xml:space="preserve"> </t>
    </r>
  </si>
  <si>
    <t>07/04/2026 19:03</t>
  </si>
  <si>
    <r>
      <rPr>
        <rFont val="Arial"/>
        <color rgb="FF000000"/>
        <sz val="9.0"/>
        <u/>
      </rPr>
      <t>https://x.com/anish_0905/status/2040738636984193490</t>
    </r>
    <r>
      <rPr>
        <rFont val="Arial"/>
        <color rgb="FF000000"/>
        <sz val="9.0"/>
      </rPr>
      <t xml:space="preserve"> </t>
    </r>
  </si>
  <si>
    <t>05/04/2026 15:59</t>
  </si>
  <si>
    <t>05/04/2026 16:55</t>
  </si>
  <si>
    <r>
      <rPr>
        <rFont val="Arial"/>
        <color rgb="FF000000"/>
        <sz val="9.0"/>
        <u/>
      </rPr>
      <t>https://x.com/hemantoist/status/2040688369328632305</t>
    </r>
    <r>
      <rPr>
        <rFont val="Arial"/>
        <color rgb="FF000000"/>
        <sz val="9.0"/>
      </rPr>
      <t xml:space="preserve"> </t>
    </r>
  </si>
  <si>
    <t>05/04/2026 12:39</t>
  </si>
  <si>
    <t>05/04/2026 12:41</t>
  </si>
  <si>
    <t>07/04/2026 00:15</t>
  </si>
  <si>
    <t>07/04/2026 08:43</t>
  </si>
  <si>
    <t>07/04/2026 00:17</t>
  </si>
  <si>
    <r>
      <rPr>
        <rFont val="Arial"/>
        <color rgb="FF000000"/>
        <sz val="9.0"/>
        <u/>
      </rPr>
      <t>https://x.com/swapnilgarud/status/2040487666563834079</t>
    </r>
    <r>
      <rPr>
        <rFont val="Arial"/>
        <color rgb="FF000000"/>
        <sz val="9.0"/>
      </rPr>
      <t xml:space="preserve"> </t>
    </r>
  </si>
  <si>
    <t>04/04/2026 23:22</t>
  </si>
  <si>
    <t>04/04/2026 23:25</t>
  </si>
  <si>
    <r>
      <rPr>
        <rFont val="Arial"/>
        <color rgb="FF000000"/>
        <sz val="9.0"/>
        <u/>
      </rPr>
      <t>https://x.com/ManojMidha0603/status/2040365197966422250</t>
    </r>
    <r>
      <rPr>
        <rFont val="Arial"/>
        <color rgb="FF000000"/>
        <sz val="9.0"/>
      </rPr>
      <t xml:space="preserve"> </t>
    </r>
  </si>
  <si>
    <t>04/04/2026 15:15</t>
  </si>
  <si>
    <t>04/04/2026 15:27</t>
  </si>
  <si>
    <r>
      <rPr>
        <rFont val="Arial"/>
        <color rgb="FF000000"/>
        <sz val="9.0"/>
        <u/>
      </rPr>
      <t>https://x.com/sinvhal/status/2040359792414445697</t>
    </r>
    <r>
      <rPr>
        <rFont val="Arial"/>
        <color rgb="FF000000"/>
        <sz val="9.0"/>
      </rPr>
      <t xml:space="preserve"> </t>
    </r>
  </si>
  <si>
    <t>04/04/2026 14:54</t>
  </si>
  <si>
    <r>
      <rPr>
        <rFont val="Arial"/>
        <color rgb="FF000000"/>
        <sz val="9.0"/>
        <u/>
      </rPr>
      <t>https://x.com/DrPagariya/status/2040317271449731504</t>
    </r>
    <r>
      <rPr>
        <rFont val="Arial"/>
        <color rgb="FF000000"/>
        <sz val="9.0"/>
      </rPr>
      <t xml:space="preserve"> </t>
    </r>
  </si>
  <si>
    <t>04/04/2026 12:05</t>
  </si>
  <si>
    <t>04/04/2026 12:06</t>
  </si>
  <si>
    <t>04/04/2026 12:10</t>
  </si>
  <si>
    <t>05/04/2026 22:37</t>
  </si>
  <si>
    <t>05/04/2026 22:38</t>
  </si>
  <si>
    <t>05/04/2026 22:40</t>
  </si>
  <si>
    <t>05/04/2026 22:42</t>
  </si>
  <si>
    <r>
      <rPr>
        <rFont val="Arial"/>
        <color rgb="FF000000"/>
        <sz val="9.0"/>
        <u/>
      </rPr>
      <t>https://x.com/bharatb65354321/status/2040043061510906187</t>
    </r>
    <r>
      <rPr>
        <rFont val="Arial"/>
        <color rgb="FF000000"/>
        <sz val="9.0"/>
      </rPr>
      <t xml:space="preserve"> </t>
    </r>
  </si>
  <si>
    <t>03/04/2026 17:55</t>
  </si>
  <si>
    <t>03/04/2026 17:58</t>
  </si>
  <si>
    <r>
      <rPr>
        <rFont val="Arial"/>
        <color rgb="FF000000"/>
        <sz val="9.0"/>
        <u/>
      </rPr>
      <t>https://x.com/OjasS94/status/2040009549542031370</t>
    </r>
    <r>
      <rPr>
        <rFont val="Arial"/>
        <color rgb="FF000000"/>
        <sz val="9.0"/>
      </rPr>
      <t xml:space="preserve"> </t>
    </r>
  </si>
  <si>
    <t>03/04/2026 15:42</t>
  </si>
  <si>
    <t>03/04/2026 15:54</t>
  </si>
  <si>
    <t>03/04/2026 16:16</t>
  </si>
  <si>
    <t>04/04/2026 10:03</t>
  </si>
  <si>
    <t>04/04/2026 10:02</t>
  </si>
  <si>
    <t>04/04/2026 18:13</t>
  </si>
  <si>
    <t>04/04/2026 10:05</t>
  </si>
  <si>
    <t>13/04/2026 08:46</t>
  </si>
  <si>
    <t>04/04/2026 18:24</t>
  </si>
  <si>
    <t>13/04/2026 08:06</t>
  </si>
  <si>
    <r>
      <rPr>
        <rFont val="Arial"/>
        <color rgb="FF000000"/>
        <sz val="9.0"/>
        <u/>
      </rPr>
      <t>https://x.com/garodia_/status/2039606951001415858</t>
    </r>
    <r>
      <rPr>
        <rFont val="Arial"/>
        <color rgb="FF000000"/>
        <sz val="9.0"/>
      </rPr>
      <t xml:space="preserve"> </t>
    </r>
  </si>
  <si>
    <t>02/04/2026 13:02</t>
  </si>
  <si>
    <t>02/04/2026 13:04</t>
  </si>
  <si>
    <r>
      <rPr>
        <rFont val="Arial"/>
        <color rgb="FF000000"/>
        <sz val="9.0"/>
        <u/>
      </rPr>
      <t>https://x.com/Prakash_P86/status/2039280494668648804</t>
    </r>
    <r>
      <rPr>
        <rFont val="Arial"/>
        <color rgb="FF000000"/>
        <sz val="9.0"/>
      </rPr>
      <t xml:space="preserve"> </t>
    </r>
  </si>
  <si>
    <t>01/04/2026 15:25</t>
  </si>
  <si>
    <t>01/04/2026 15:37</t>
  </si>
  <si>
    <r>
      <rPr>
        <rFont val="Arial"/>
        <color rgb="FF000000"/>
        <sz val="9.0"/>
        <u/>
      </rPr>
      <t>https://x.com/sinvhal/status/2039231921558069472</t>
    </r>
    <r>
      <rPr>
        <rFont val="Arial"/>
        <color rgb="FF000000"/>
        <sz val="9.0"/>
      </rPr>
      <t xml:space="preserve"> </t>
    </r>
  </si>
  <si>
    <t>01/04/2026 12:12</t>
  </si>
  <si>
    <t>01/04/2026 12:16</t>
  </si>
  <si>
    <t>0.0731</t>
  </si>
  <si>
    <t>Care Health Insurance Co. Ltd</t>
  </si>
  <si>
    <t>https://x.com/Lavkush82988810/status/2049598759336861897</t>
  </si>
  <si>
    <t>30/04/2026 02:46</t>
  </si>
  <si>
    <t>30/04/2026 15:09</t>
  </si>
  <si>
    <t>30/04/2026 17:47</t>
  </si>
  <si>
    <t>05/05/2026 15:45</t>
  </si>
  <si>
    <t>https://x.com/varunkhandelwa4/status/2049533242114773028</t>
  </si>
  <si>
    <t>29/04/2026 22:26</t>
  </si>
  <si>
    <t>29/04/2026 22:27</t>
  </si>
  <si>
    <t>29/04/2026 22:51</t>
  </si>
  <si>
    <t>30/04/2026 00:58</t>
  </si>
  <si>
    <t>30/04/2026 12:31</t>
  </si>
  <si>
    <t>https://x.com/cbiker78/status/2049417266836721985</t>
  </si>
  <si>
    <t>29/04/2026 14:45</t>
  </si>
  <si>
    <t>29/04/2026 14:47</t>
  </si>
  <si>
    <t>29/04/2026 15:15</t>
  </si>
  <si>
    <t>29/04/2026 15:24</t>
  </si>
  <si>
    <t>https://x.com/shah_jaimin/status/2049397600835739746</t>
  </si>
  <si>
    <t>29/04/2026 13:27</t>
  </si>
  <si>
    <t>29/04/2026 13:31</t>
  </si>
  <si>
    <t>29/04/2026 19:23</t>
  </si>
  <si>
    <t>01/05/2026 15:35</t>
  </si>
  <si>
    <t>https://x.com/untoldfxxling/status/2049153932090642871</t>
  </si>
  <si>
    <t>28/04/2026 21:19</t>
  </si>
  <si>
    <t>29/04/2026 10:44</t>
  </si>
  <si>
    <t>https://x.com/subhash250/status/2049076145568805275</t>
  </si>
  <si>
    <t>28/04/2026 16:09</t>
  </si>
  <si>
    <t>28/04/2026 16:20</t>
  </si>
  <si>
    <t>https://x.com/ashuprashadgma1/status/2049009045936476184</t>
  </si>
  <si>
    <t>28/04/2026 11:43</t>
  </si>
  <si>
    <t>28/04/2026 11:51</t>
  </si>
  <si>
    <t>https://x.com/anilbudhraja/status/2048989938214138023</t>
  </si>
  <si>
    <t>28/04/2026 10:27</t>
  </si>
  <si>
    <t>28/04/2026 10:33</t>
  </si>
  <si>
    <t>28/04/2026 10:34</t>
  </si>
  <si>
    <t>28/04/2026 15:20</t>
  </si>
  <si>
    <t>28/04/2026 11:31</t>
  </si>
  <si>
    <t>28/04/2026 17:43</t>
  </si>
  <si>
    <t>28/04/2026 13:55</t>
  </si>
  <si>
    <t>28/04/2026 17:40</t>
  </si>
  <si>
    <t>https://x.com/jiladhyas/status/2048793812227723732</t>
  </si>
  <si>
    <t>27/04/2026 21:28</t>
  </si>
  <si>
    <t>https://x.com/AnandMiesala/status/2048657028961440015</t>
  </si>
  <si>
    <t>27/04/2026 12:24</t>
  </si>
  <si>
    <t>27/04/2026 12:26</t>
  </si>
  <si>
    <t>28/04/2026 10:09</t>
  </si>
  <si>
    <t>28/04/2026 10:13</t>
  </si>
  <si>
    <t>https://x.com/nightfury_91/status/2048410120019984838</t>
  </si>
  <si>
    <t>26/04/2026 20:03</t>
  </si>
  <si>
    <t>27/04/2026 10:38</t>
  </si>
  <si>
    <t>27/04/2026 15:26</t>
  </si>
  <si>
    <t>https://x.com/somrajaec/status/2048329054177378360</t>
  </si>
  <si>
    <t>26/04/2026 14:41</t>
  </si>
  <si>
    <t>27/04/2026 11:37</t>
  </si>
  <si>
    <t>27/04/2026 11:41</t>
  </si>
  <si>
    <t>27/04/2026 11:46</t>
  </si>
  <si>
    <r>
      <rPr>
        <rFont val="Arial"/>
        <color rgb="FF000000"/>
        <sz val="9.0"/>
        <u/>
      </rPr>
      <t>https://x.com/vineetminocha/status/2048325881622577247</t>
    </r>
    <r>
      <rPr>
        <rFont val="Arial"/>
        <color rgb="FF000000"/>
        <sz val="9.0"/>
      </rPr>
      <t xml:space="preserve"> </t>
    </r>
  </si>
  <si>
    <t>26/04/2026 14:28</t>
  </si>
  <si>
    <t>27/04/2026 16:40</t>
  </si>
  <si>
    <t>27/04/2026 18:20</t>
  </si>
  <si>
    <t>https://x.com/anish102/status/2048025643372441704</t>
  </si>
  <si>
    <t>25/04/2026 18:35</t>
  </si>
  <si>
    <t>27/04/2026 15:47</t>
  </si>
  <si>
    <t>25/04/2026 18:38</t>
  </si>
  <si>
    <t>https://x.com/iraj_anand/status/2047980899925631146</t>
  </si>
  <si>
    <t>25/04/2026 15:37</t>
  </si>
  <si>
    <t>25/04/2026 18:02</t>
  </si>
  <si>
    <t>26/04/2026 13:13</t>
  </si>
  <si>
    <t>29/04/2026 16:17</t>
  </si>
  <si>
    <t>27/04/2026 17:06</t>
  </si>
  <si>
    <t>29/04/2026 16:42</t>
  </si>
  <si>
    <t>29/04/2026 15:25</t>
  </si>
  <si>
    <t>29/04/2026 19:00</t>
  </si>
  <si>
    <t>29/04/2026 16:39</t>
  </si>
  <si>
    <t>https://x.com/ZeroBrokerage/status/2047943504429719752</t>
  </si>
  <si>
    <t>25/04/2026 13:09</t>
  </si>
  <si>
    <t>25/04/2026 13:20</t>
  </si>
  <si>
    <t>https://x.com/mthomasnicholas/status/2047717018875683304</t>
  </si>
  <si>
    <t>24/04/2026 22:09</t>
  </si>
  <si>
    <t>24/04/2026 22:13</t>
  </si>
  <si>
    <t>24/04/2026 22:27</t>
  </si>
  <si>
    <t>https://x.com/GoelVinamrIIT/status/2047682747997811145</t>
  </si>
  <si>
    <t>24/04/2026 19:53</t>
  </si>
  <si>
    <t>https://x.com/GoelVinamrIIT/status/2047682378869645738</t>
  </si>
  <si>
    <t>24/04/2026 19:51</t>
  </si>
  <si>
    <t>https://x.com/vijaysdhani/status/2047549316236288358</t>
  </si>
  <si>
    <t>24/04/2026 11:02</t>
  </si>
  <si>
    <t>24/04/2026 11:10</t>
  </si>
  <si>
    <t>24/04/2026 15:47</t>
  </si>
  <si>
    <t>https://x.com/RaviRan47722494/status/2047364529533927644</t>
  </si>
  <si>
    <t>23/04/2026 22:48</t>
  </si>
  <si>
    <t>24/04/2026 11:28</t>
  </si>
  <si>
    <t>https://x.com/tony162119/status/2047509396960448731</t>
  </si>
  <si>
    <t>24/04/2026 08:24</t>
  </si>
  <si>
    <t>24/04/2026 12:24</t>
  </si>
  <si>
    <t>24/04/2026 12:32</t>
  </si>
  <si>
    <t>24/04/2026 18:03</t>
  </si>
  <si>
    <t>27/04/2026 18:21</t>
  </si>
  <si>
    <t>28/04/2026 11:46</t>
  </si>
  <si>
    <t>28/04/2026 16:18</t>
  </si>
  <si>
    <t>https://x.com/JanamejaySing19/status/2047358521440919838</t>
  </si>
  <si>
    <t>23/04/2026 22:24</t>
  </si>
  <si>
    <t>23/04/2026 22:42</t>
  </si>
  <si>
    <t>24/04/2026 10:39</t>
  </si>
  <si>
    <t>24/04/2026 15:25</t>
  </si>
  <si>
    <t>25/04/2026 19:53</t>
  </si>
  <si>
    <t>https://x.com/sameerpatro04/status/2047331380674339143</t>
  </si>
  <si>
    <t>23/04/2026 20:36</t>
  </si>
  <si>
    <t>https://x.com/PrasadMorbale/status/2047318637317685320</t>
  </si>
  <si>
    <t>23/04/2026 19:46</t>
  </si>
  <si>
    <t>24/04/2026 11:25</t>
  </si>
  <si>
    <t>23/04/2026 19:56</t>
  </si>
  <si>
    <t>24/04/2026 16:54</t>
  </si>
  <si>
    <t>23/04/2026 20:02</t>
  </si>
  <si>
    <t>01/05/2026 10:58</t>
  </si>
  <si>
    <t>28/04/2026 19:42</t>
  </si>
  <si>
    <t>01/05/2026 16:45</t>
  </si>
  <si>
    <t>05/05/2026 16:15</t>
  </si>
  <si>
    <t>01/05/2026 07:11</t>
  </si>
  <si>
    <t>06/05/2026 17:35</t>
  </si>
  <si>
    <t>01/05/2026 07:12</t>
  </si>
  <si>
    <t>06/05/2026 18:01</t>
  </si>
  <si>
    <t>06/05/2026 17:30</t>
  </si>
  <si>
    <t>https://x.com/dpatanjali/status/2047288485917474888</t>
  </si>
  <si>
    <t>23/04/2026 17:48</t>
  </si>
  <si>
    <t>23/04/2026 17:50</t>
  </si>
  <si>
    <t>23/04/2026 17:53</t>
  </si>
  <si>
    <t>23/04/2026 17:56</t>
  </si>
  <si>
    <t>23/04/2026 18:01</t>
  </si>
  <si>
    <t>23/04/2026 18:13</t>
  </si>
  <si>
    <t>23/04/2026 23:20</t>
  </si>
  <si>
    <t>https://x.com/shailesh91178/status/2047288020353831402</t>
  </si>
  <si>
    <t>23/04/2026 17:44</t>
  </si>
  <si>
    <t>23/04/2026 17:47</t>
  </si>
  <si>
    <t>23/04/2026 19:05</t>
  </si>
  <si>
    <t>24/04/2026 12:05</t>
  </si>
  <si>
    <t>27/04/2026 15:14</t>
  </si>
  <si>
    <t>24/04/2026 16:38</t>
  </si>
  <si>
    <t>27/04/2026 15:17</t>
  </si>
  <si>
    <t>27/04/2026 18:22</t>
  </si>
  <si>
    <t>05/05/2026 17:48</t>
  </si>
  <si>
    <t>https://x.com/olive_olivia31/status/2047270641473331422</t>
  </si>
  <si>
    <t>23/04/2026 16:35</t>
  </si>
  <si>
    <t>23/04/2026 16:37</t>
  </si>
  <si>
    <t>https://x.com/AjayPrakashShri/status/2047237684595228869</t>
  </si>
  <si>
    <t>23/04/2026 14:24</t>
  </si>
  <si>
    <t>23/04/2026 14:28</t>
  </si>
  <si>
    <t>https://x.com/nightfury_91/status/2046920162239258815</t>
  </si>
  <si>
    <t>22/04/2026 17:22</t>
  </si>
  <si>
    <t>22/04/2026 17:24</t>
  </si>
  <si>
    <t>23/04/2026 19:42</t>
  </si>
  <si>
    <t>https://x.com/varoonkp/status/2046834190386409719</t>
  </si>
  <si>
    <t>22/04/2026 11:41</t>
  </si>
  <si>
    <t>22/04/2026 11:50</t>
  </si>
  <si>
    <t>https://x.com/MarannanVignesh/status/2046662716211830914</t>
  </si>
  <si>
    <t>22/04/2026 00:19</t>
  </si>
  <si>
    <t>https://x.com/MarannanVignesh/status/2041227526169571463</t>
  </si>
  <si>
    <t>07/04/2026 00:22</t>
  </si>
  <si>
    <t>https://x.com/shridawankar/status/2046560118381400152</t>
  </si>
  <si>
    <t>21/04/2026 17:32</t>
  </si>
  <si>
    <t>21/04/2026 17:33</t>
  </si>
  <si>
    <t>22/04/2026 07:36</t>
  </si>
  <si>
    <t>22/04/2026 12:56</t>
  </si>
  <si>
    <t>22/04/2026 07:38</t>
  </si>
  <si>
    <t>22/04/2026 16:37</t>
  </si>
  <si>
    <t>01/05/2026 12:06</t>
  </si>
  <si>
    <t>https://x.com/RakhiAgrawalS/status/2046549379310641274</t>
  </si>
  <si>
    <t>21/04/2026 16:49</t>
  </si>
  <si>
    <t>25/04/2026 11:46</t>
  </si>
  <si>
    <t>26/04/2026 19:30</t>
  </si>
  <si>
    <t>27/04/2026 12:43</t>
  </si>
  <si>
    <t>27/04/2026 11:24</t>
  </si>
  <si>
    <t>27/04/2026 13:00</t>
  </si>
  <si>
    <t>27/04/2026 13:06</t>
  </si>
  <si>
    <t>27/04/2026 13:09</t>
  </si>
  <si>
    <t>https://x.com/Shreybhatt88/status/2046519803532468337</t>
  </si>
  <si>
    <t>21/04/2026 14:51</t>
  </si>
  <si>
    <t>https://x.com/Shreybhatt88/status/2046518783494475890</t>
  </si>
  <si>
    <t>21/04/2026 14:47</t>
  </si>
  <si>
    <t>21/04/2026 14:57</t>
  </si>
  <si>
    <t>21/04/2026 14:54</t>
  </si>
  <si>
    <t>https://x.com/satyapal_123/status/2046517567066640874</t>
  </si>
  <si>
    <t>21/04/2026 14:43</t>
  </si>
  <si>
    <t>https://x.com/AjayNirmal30/status/2046207845893603776</t>
  </si>
  <si>
    <t>20/04/2026 18:12</t>
  </si>
  <si>
    <t>21/04/2026 12:52</t>
  </si>
  <si>
    <t>20/04/2026 18:19</t>
  </si>
  <si>
    <t>21/04/2026 16:46</t>
  </si>
  <si>
    <t>https://x.com/ShalinJoshipura/status/2046127503425843494</t>
  </si>
  <si>
    <t>20/04/2026 12:53</t>
  </si>
  <si>
    <t>20/04/2026 13:02</t>
  </si>
  <si>
    <t>https://x.com/ragavanbmr/status/2045870096669979122</t>
  </si>
  <si>
    <t>19/04/2026 19:50</t>
  </si>
  <si>
    <t>20/04/2026 10:48</t>
  </si>
  <si>
    <t>https://x.com/AMRIT4AISH/status/2045711348185596228</t>
  </si>
  <si>
    <t>19/04/2026 09:19</t>
  </si>
  <si>
    <t>20/04/2026 12:33</t>
  </si>
  <si>
    <t>19/04/2026 10:44</t>
  </si>
  <si>
    <t>https://x.com/HarshalKale/status/2045512955576656059</t>
  </si>
  <si>
    <t>18/04/2026 20:11</t>
  </si>
  <si>
    <t>20/04/2026 14:15</t>
  </si>
  <si>
    <t>10/05/2026 15:30</t>
  </si>
  <si>
    <t>11/05/2026 16:48</t>
  </si>
  <si>
    <t>11/05/2026 18:04</t>
  </si>
  <si>
    <t>12/05/2026 12:50</t>
  </si>
  <si>
    <t>https://x.com/carthiksunny/status/2045460113914560873</t>
  </si>
  <si>
    <t>18/04/2026 16:41</t>
  </si>
  <si>
    <t>18/04/2026 16:42</t>
  </si>
  <si>
    <t>18/04/2026 16:46</t>
  </si>
  <si>
    <t>18/04/2026 16:55</t>
  </si>
  <si>
    <t>18/04/2026 22:48</t>
  </si>
  <si>
    <t>20/04/2026 13:24</t>
  </si>
  <si>
    <t>https://x.com/vineetminocha/status/2045429046763573299</t>
  </si>
  <si>
    <t>18/04/2026 14:43</t>
  </si>
  <si>
    <t>18/04/2026 14:53</t>
  </si>
  <si>
    <t>18/04/2026 15:24</t>
  </si>
  <si>
    <t>https://x.com/SHARMAR95896621/status/2045428040394850758</t>
  </si>
  <si>
    <t>18/04/2026 14:33</t>
  </si>
  <si>
    <t>18/04/2026 14:39</t>
  </si>
  <si>
    <t>18/04/2026 15:19</t>
  </si>
  <si>
    <t>https://x.com/nitishs0711/status/2045395574909010019</t>
  </si>
  <si>
    <t>18/04/2026 12:24</t>
  </si>
  <si>
    <t>18/04/2026 12:36</t>
  </si>
  <si>
    <t>19/04/2026 12:10</t>
  </si>
  <si>
    <t>20/04/2026 11:53</t>
  </si>
  <si>
    <t>20/04/2026 13:46</t>
  </si>
  <si>
    <t>20/04/2026 17:26</t>
  </si>
  <si>
    <t>https://x.com/AjayNirmal30/status/2045348477161685175</t>
  </si>
  <si>
    <t>18/04/2026 09:17</t>
  </si>
  <si>
    <t>18/04/2026 12:26</t>
  </si>
  <si>
    <t>https://x.com/AjayNirmal30/status/2045342061466165535</t>
  </si>
  <si>
    <t>18/04/2026 08:52</t>
  </si>
  <si>
    <t>https://x.com/TheAnkits2310/status/2045112695956046205</t>
  </si>
  <si>
    <t>17/04/2026 17:40</t>
  </si>
  <si>
    <t>17/04/2026 17:46</t>
  </si>
  <si>
    <t>17/04/2026 17:51</t>
  </si>
  <si>
    <t>https://x.com/minda111/status/2045089150744060356</t>
  </si>
  <si>
    <t>17/04/2026 16:07</t>
  </si>
  <si>
    <t>https://x.com/coolvaibhav13/status/2045069743082836145</t>
  </si>
  <si>
    <t>17/04/2026 14:49</t>
  </si>
  <si>
    <t>17/04/2026 14:52</t>
  </si>
  <si>
    <t>17/04/2026 15:17</t>
  </si>
  <si>
    <t>17/04/2026 22:20</t>
  </si>
  <si>
    <t>https://x.com/RohitSaraswat6/status/2045049128653369364</t>
  </si>
  <si>
    <t>17/04/2026 13:28</t>
  </si>
  <si>
    <t>17/04/2026 13:31</t>
  </si>
  <si>
    <t>17/04/2026 13:38</t>
  </si>
  <si>
    <t>17/04/2026 13:44</t>
  </si>
  <si>
    <t>17/04/2026 13:42</t>
  </si>
  <si>
    <t>20/04/2026 15:20</t>
  </si>
  <si>
    <t>20/04/2026 01:15</t>
  </si>
  <si>
    <t>https://x.com/AnishAhmed007/status/2045021896849465605</t>
  </si>
  <si>
    <t>17/04/2026 11:39</t>
  </si>
  <si>
    <t>17/04/2026 11:43</t>
  </si>
  <si>
    <t>17/04/2026 11:42</t>
  </si>
  <si>
    <t>17/04/2026 11:44</t>
  </si>
  <si>
    <t>https://x.com/RB_RAJESH03/status/2045020118074454439</t>
  </si>
  <si>
    <t>17/04/2026 11:32</t>
  </si>
  <si>
    <t>17/04/2026 11:37</t>
  </si>
  <si>
    <t>https://x.com/meetpramodkn/status/2044858804756701279</t>
  </si>
  <si>
    <t>17/04/2026 00:51</t>
  </si>
  <si>
    <t>17/04/2026 11:54</t>
  </si>
  <si>
    <t>17/04/2026 00:57</t>
  </si>
  <si>
    <t>17/04/2026 16:10</t>
  </si>
  <si>
    <r>
      <rPr>
        <rFont val="Arial"/>
        <color rgb="FF1155CC"/>
        <sz val="9.0"/>
        <u/>
      </rPr>
      <t>https://x.com/satyapal_123/status/2044815986764005869</t>
    </r>
    <r>
      <rPr>
        <rFont val="Arial"/>
        <color rgb="FF000000"/>
        <sz val="9.0"/>
      </rPr>
      <t xml:space="preserve"> </t>
    </r>
  </si>
  <si>
    <t>16/04/2026 22:01</t>
  </si>
  <si>
    <t>22/04/2026 15:12</t>
  </si>
  <si>
    <t>24/04/2026 12:03</t>
  </si>
  <si>
    <t>30/04/2026 13:01</t>
  </si>
  <si>
    <t>30/04/2026 17:53</t>
  </si>
  <si>
    <t>01/05/2026 16:42</t>
  </si>
  <si>
    <t>01/05/2026 18:58</t>
  </si>
  <si>
    <t>02/05/2026 12:53</t>
  </si>
  <si>
    <t>02/05/2026 17:46</t>
  </si>
  <si>
    <t>https://x.com/officialmanas_/status/2044768859534799270</t>
  </si>
  <si>
    <t>16/04/2026 18:54</t>
  </si>
  <si>
    <t>17/04/2026 11:21</t>
  </si>
  <si>
    <t>25/04/2026 20:02</t>
  </si>
  <si>
    <t>https://x.com/iqubal84/status/2044700692112392391</t>
  </si>
  <si>
    <t>16/04/2026 14:23</t>
  </si>
  <si>
    <t>16/04/2026 14:29</t>
  </si>
  <si>
    <t>https://x.com/vaikoovery/status/2044641902038007838</t>
  </si>
  <si>
    <t>16/04/2026 10:29</t>
  </si>
  <si>
    <t>16/04/2026 10:40</t>
  </si>
  <si>
    <t>https://x.com/biswajitpower/status/2044446158421107099</t>
  </si>
  <si>
    <t>15/04/2026 21:32</t>
  </si>
  <si>
    <t>20/04/2026 17:43</t>
  </si>
  <si>
    <t>25/04/202612:30:00</t>
  </si>
  <si>
    <t>25/04/2026 12:49</t>
  </si>
  <si>
    <t>27/04/2026 14:38</t>
  </si>
  <si>
    <t>27/04/2026 16:15</t>
  </si>
  <si>
    <t>https://x.com/mihirjha2/status/2044402757948600650</t>
  </si>
  <si>
    <t>15/04/2026 18:39</t>
  </si>
  <si>
    <t>https://x.com/hoodaakarsh/status/2044399303406583983</t>
  </si>
  <si>
    <t>15/04/2026 18:25</t>
  </si>
  <si>
    <t>16/04/2026 12:35</t>
  </si>
  <si>
    <t>16/04/2026 13:26</t>
  </si>
  <si>
    <t>16/04/2026 17:35</t>
  </si>
  <si>
    <t>https://x.com/TweetNehaSaluja/status/2044330011709321299</t>
  </si>
  <si>
    <t>15/04/2026 13:50</t>
  </si>
  <si>
    <t>15/04/2026 13:54</t>
  </si>
  <si>
    <t>15/04/2026 14:17</t>
  </si>
  <si>
    <t>16/04/2026 16:16</t>
  </si>
  <si>
    <t>https://x.com/SaumyaFineTech/status/2044302724704129170</t>
  </si>
  <si>
    <t>15/04/2026 12:02</t>
  </si>
  <si>
    <t>15/04/2026 12:07</t>
  </si>
  <si>
    <t>15/04/2026 12:08</t>
  </si>
  <si>
    <t>15/04/2026 16:50</t>
  </si>
  <si>
    <t>15/04/2026 13:27</t>
  </si>
  <si>
    <t>15/04/2026 17:16</t>
  </si>
  <si>
    <t>15/04/2026 17:12</t>
  </si>
  <si>
    <t>15/04/2026 18:28</t>
  </si>
  <si>
    <t>15/04/2026 17:24</t>
  </si>
  <si>
    <t>05/05/2026 18:58</t>
  </si>
  <si>
    <t>https://x.com/Ashishchau1103/status/2044069384604598683</t>
  </si>
  <si>
    <t>14/04/2026 20:34</t>
  </si>
  <si>
    <t>https://x.com/sahilkumar1012/status/2044033926709293420</t>
  </si>
  <si>
    <t>14/04/2026 18:13</t>
  </si>
  <si>
    <t>15/04/2026 12:04</t>
  </si>
  <si>
    <t>https://x.com/ptl_parag/status/2043998851452022950</t>
  </si>
  <si>
    <t>14/04/2026 15:54</t>
  </si>
  <si>
    <t>14/04/2026 15:56</t>
  </si>
  <si>
    <t>14/04/2026 18:32</t>
  </si>
  <si>
    <t>14/04/2026 16:10</t>
  </si>
  <si>
    <t>16/04/2026 13:31</t>
  </si>
  <si>
    <t>16/04/2026 13:25</t>
  </si>
  <si>
    <t>16/04/2026 13:34</t>
  </si>
  <si>
    <t>https://x.com/elondmastwa/status/2043956367342641353</t>
  </si>
  <si>
    <t>14/04/2026 13:05</t>
  </si>
  <si>
    <t>14/04/2026 13:08</t>
  </si>
  <si>
    <t>14/04/2026 13:19</t>
  </si>
  <si>
    <t>14/04/2026 18:06</t>
  </si>
  <si>
    <t>15/04/2026 02:24</t>
  </si>
  <si>
    <t>15/04/2026 10:47</t>
  </si>
  <si>
    <t>15/04/2026 02:38</t>
  </si>
  <si>
    <t>15/04/2026 10:22</t>
  </si>
  <si>
    <t>15/04/2026 10:34</t>
  </si>
  <si>
    <t>15/04/2026 10:48</t>
  </si>
  <si>
    <t>15/04/2026 10:49</t>
  </si>
  <si>
    <t>15/04/2026 10:55</t>
  </si>
  <si>
    <t>https://x.com/ProdEnthu931/status/2043930501644464606</t>
  </si>
  <si>
    <t>14/04/2026 11:23</t>
  </si>
  <si>
    <t>14/04/2026 11:24</t>
  </si>
  <si>
    <t>https://x.com/sareendonepudi/status/2043905032597467187</t>
  </si>
  <si>
    <t>14/04/2026 09:41</t>
  </si>
  <si>
    <t>14/04/2026 12:29</t>
  </si>
  <si>
    <t>16/04/2026 10:17</t>
  </si>
  <si>
    <t>16/04/2026 16:13</t>
  </si>
  <si>
    <t>https://x.com/sareendonepudi/status/2043905032391930089</t>
  </si>
  <si>
    <t>https://x.com/DeeptiTammali/status/2043715095432438165</t>
  </si>
  <si>
    <t>13/04/2026 21:07</t>
  </si>
  <si>
    <t>13/04/2026 21:08</t>
  </si>
  <si>
    <t>https://x.com/fedriegofalcon/status/2043604688063582303</t>
  </si>
  <si>
    <t>13/04/2026 13:48</t>
  </si>
  <si>
    <t>13/04/2026 14:09</t>
  </si>
  <si>
    <t>22/04/2026 01:04</t>
  </si>
  <si>
    <t>22/04/2026 11:17</t>
  </si>
  <si>
    <t>https://x.com/Gobind727/status/2043602897406177373</t>
  </si>
  <si>
    <t>13/04/2026 13:41</t>
  </si>
  <si>
    <t>13/04/2026 13:43</t>
  </si>
  <si>
    <t>13/04/2026 15:00</t>
  </si>
  <si>
    <t>13/04/2026 18:59</t>
  </si>
  <si>
    <t>25/04/2026 19:46</t>
  </si>
  <si>
    <t>https://x.com/ajaymalvankar/status/2043260229392208284</t>
  </si>
  <si>
    <t>12/04/2026 14:59</t>
  </si>
  <si>
    <t>13/04/2026 12:56</t>
  </si>
  <si>
    <t>13/04/2026 17:14</t>
  </si>
  <si>
    <t>13/04/2026 18:31</t>
  </si>
  <si>
    <t>13/04/2026 23:47</t>
  </si>
  <si>
    <t>14/04/2026 10:42</t>
  </si>
  <si>
    <t>14/04/2026 11:09</t>
  </si>
  <si>
    <t>14/04/2026 16:12</t>
  </si>
  <si>
    <t>15/04/2026 18:57</t>
  </si>
  <si>
    <t>https://x.com/pkabra547/status/2043259654411866446</t>
  </si>
  <si>
    <t>12/04/2026 14:57</t>
  </si>
  <si>
    <t>13/04/2026 11:31</t>
  </si>
  <si>
    <t>13/04/2026 17:06</t>
  </si>
  <si>
    <t>15/04/2026 19:29</t>
  </si>
  <si>
    <t>https://x.com/Self_Observing/status/2043218778746724411</t>
  </si>
  <si>
    <t>12/04/2026 12:14</t>
  </si>
  <si>
    <t>https://x.com/Abhishe26967198/status/2042827937603538965</t>
  </si>
  <si>
    <t>11/04/2026 10:21</t>
  </si>
  <si>
    <t>11/04/2026 10:23</t>
  </si>
  <si>
    <t>11/04/2026 11:01</t>
  </si>
  <si>
    <t>11/04/2026 15:54</t>
  </si>
  <si>
    <t>11/04/2026 18:20</t>
  </si>
  <si>
    <t>18/04/2026 15:45</t>
  </si>
  <si>
    <t>23/04/2026 17:13</t>
  </si>
  <si>
    <t>https://x.com/BaradiaManish/status/2042822975280550245</t>
  </si>
  <si>
    <t>11/04/2026 10:02</t>
  </si>
  <si>
    <t>11/04/2026 10:16</t>
  </si>
  <si>
    <t>11/04/2026 11:21</t>
  </si>
  <si>
    <t>11/04/2026 15:20</t>
  </si>
  <si>
    <t>16/04/2026 17:18</t>
  </si>
  <si>
    <t>16/04/2026 18:29</t>
  </si>
  <si>
    <t>https://x.com/___Vinay___/status/2042780799855137250</t>
  </si>
  <si>
    <t>11/04/2026 07:14</t>
  </si>
  <si>
    <t>11/04/2026 13:57</t>
  </si>
  <si>
    <t>11/04/2026 15:02</t>
  </si>
  <si>
    <t>11/04/2026 19:18</t>
  </si>
  <si>
    <t>11/04/2026 20:20</t>
  </si>
  <si>
    <t>13/04/2026 14:02</t>
  </si>
  <si>
    <t>https://x.com/RohanModi15/status/2042708331144581266</t>
  </si>
  <si>
    <t>11/04/2026 02:26</t>
  </si>
  <si>
    <t>11/04/2026 13:03</t>
  </si>
  <si>
    <t>11/04/2026 18:06</t>
  </si>
  <si>
    <t>https://x.com/c_raiyani/status/2042641353226764528</t>
  </si>
  <si>
    <t>10/04/2026 22:00</t>
  </si>
  <si>
    <t>https://x.com/c_raiyani/status/2042641007360249995</t>
  </si>
  <si>
    <t>10/04/2026 21:59</t>
  </si>
  <si>
    <t>https://x.com/c_raiyani/status/2042640436997820528</t>
  </si>
  <si>
    <t>10/04/2026 21:56</t>
  </si>
  <si>
    <t>https://x.com/Akshay_M05/status/2042586370368246243</t>
  </si>
  <si>
    <t>10/04/2026 18:21</t>
  </si>
  <si>
    <t>10/04/2026 19:24</t>
  </si>
  <si>
    <t>10/04/2026 18:28</t>
  </si>
  <si>
    <t>https://x.com/Akshay_M05/status/2042567104629739940</t>
  </si>
  <si>
    <t>10/04/2026 17:05</t>
  </si>
  <si>
    <t>10/04/2026 17:08</t>
  </si>
  <si>
    <t>10/04/2026 17:11</t>
  </si>
  <si>
    <t>10/04/2026 17:15</t>
  </si>
  <si>
    <t>10/04/2026 17:21</t>
  </si>
  <si>
    <t>https://x.com/RamNarayanKant1/status/2042562746986959197</t>
  </si>
  <si>
    <t>10/04/2026 16:48</t>
  </si>
  <si>
    <t>https://x.com/RamNarayanKant1/status/2042561011199414360</t>
  </si>
  <si>
    <t>10/04/2026 16:41</t>
  </si>
  <si>
    <t>https://x.com/Jaspreet_monu12/status/2042550650131877975</t>
  </si>
  <si>
    <t>10/04/2026 15:59</t>
  </si>
  <si>
    <t>15/04/2026 14:32</t>
  </si>
  <si>
    <t>10/04/2026 19:30</t>
  </si>
  <si>
    <t>15/04/2026 18:00</t>
  </si>
  <si>
    <t>15/04/2026 14:30</t>
  </si>
  <si>
    <t>16/04/2026 12:44</t>
  </si>
  <si>
    <t>15/04/2026 15:04</t>
  </si>
  <si>
    <t>16/04/2026 14:51</t>
  </si>
  <si>
    <t>15/04/2026 18:02</t>
  </si>
  <si>
    <t>16/04/2026 16:11</t>
  </si>
  <si>
    <t>16/04/2026 16:06</t>
  </si>
  <si>
    <t>16/04/2026 16:57</t>
  </si>
  <si>
    <t>16/04/2026 16:53</t>
  </si>
  <si>
    <t>16/04/2026 17:34</t>
  </si>
  <si>
    <t>16/04/2026 17:20</t>
  </si>
  <si>
    <t>17/04/2026 12:04</t>
  </si>
  <si>
    <t>17/04/2026 13:09</t>
  </si>
  <si>
    <t>17/04/2026 13:14</t>
  </si>
  <si>
    <t>https://x.com/SANDDY_DIGITAL/status/2042540472271540514</t>
  </si>
  <si>
    <t>10/04/2026 15:19</t>
  </si>
  <si>
    <t>10/04/2026 15:24</t>
  </si>
  <si>
    <t>https://x.com/RamNarayanKant1/status/2042538425392468109</t>
  </si>
  <si>
    <t>10/04/2026 15:11</t>
  </si>
  <si>
    <t>https://x.com/RamNarayanKant1/status/2042536573615608020</t>
  </si>
  <si>
    <t>10/04/2026 15:04</t>
  </si>
  <si>
    <t>10/04/2026 15:10</t>
  </si>
  <si>
    <t>10/04/2026 15:13</t>
  </si>
  <si>
    <t>10/04/2026 15:22</t>
  </si>
  <si>
    <t>10/04/2026 17:36</t>
  </si>
  <si>
    <t>10/04/2026 18:04</t>
  </si>
  <si>
    <t>10/04/2026 18:08</t>
  </si>
  <si>
    <t>11/04/2026 12:53</t>
  </si>
  <si>
    <t>11/04/2026 17:51</t>
  </si>
  <si>
    <t>https://x.com/RamNarayanKant1/status/2042535910739448066</t>
  </si>
  <si>
    <t>10/04/2026 15:01</t>
  </si>
  <si>
    <t>https://x.com/imPraveenk/status/2042490072956858872</t>
  </si>
  <si>
    <t>10/04/2026 11:59</t>
  </si>
  <si>
    <t>10/04/2026 12:08</t>
  </si>
  <si>
    <t>https://x.com/subbarao1984/status/2042454600440299938</t>
  </si>
  <si>
    <t>10/04/2026 09:38</t>
  </si>
  <si>
    <t>10/04/2026 10:17</t>
  </si>
  <si>
    <t>15/04/202617:48</t>
  </si>
  <si>
    <t>15/04/2026 18:31</t>
  </si>
  <si>
    <t>16/04/2026 12:26</t>
  </si>
  <si>
    <t>16/04/2026 16:51</t>
  </si>
  <si>
    <t>25/04/2026 19:11</t>
  </si>
  <si>
    <t>https://x.com/rahul93shukla/status/2042261614293115133</t>
  </si>
  <si>
    <t>09/04/2026 20:51</t>
  </si>
  <si>
    <t>https://x.com/PandeyBrat/status/2042260009141293463</t>
  </si>
  <si>
    <t>09/04/2026 20:45</t>
  </si>
  <si>
    <t>10/04/2026 11:12</t>
  </si>
  <si>
    <t>Na</t>
  </si>
  <si>
    <t>https://x.com/PavanNakadi/status/2042222262598967567</t>
  </si>
  <si>
    <t>09/04/2026 18:15</t>
  </si>
  <si>
    <t>10/04/2026 12:19</t>
  </si>
  <si>
    <t>15/04/2026 19:44</t>
  </si>
  <si>
    <t>20/04/2026 10:09</t>
  </si>
  <si>
    <t>20/04/2026 15:03</t>
  </si>
  <si>
    <t>25/04/2026 20:11</t>
  </si>
  <si>
    <t>https://x.com/PrateekInWild/status/2042185783902400513</t>
  </si>
  <si>
    <t>09/04/2026 15:50</t>
  </si>
  <si>
    <t>09/04/2026 15:51</t>
  </si>
  <si>
    <t>10/04/202616:26</t>
  </si>
  <si>
    <t>11/04/2026 16:01</t>
  </si>
  <si>
    <t>13/04/2026 11:46</t>
  </si>
  <si>
    <t>13/04/2026 17:18</t>
  </si>
  <si>
    <t>15/04/2026 19:50</t>
  </si>
  <si>
    <t>https://x.com/kavijams1/status/2042132694231044320</t>
  </si>
  <si>
    <t>09/04/2026 12:19</t>
  </si>
  <si>
    <t>09/04/2026 12:24</t>
  </si>
  <si>
    <t>11/04/2026 11:43</t>
  </si>
  <si>
    <t>11/04/2026 16:24</t>
  </si>
  <si>
    <t>Cholamandalam MS General Insurance Co. Ltd.</t>
  </si>
  <si>
    <r>
      <rPr>
        <rFont val="Arial"/>
        <sz val="9.0"/>
        <u/>
      </rPr>
      <t>https://x.com/Prem18969669/status/2046615132080676905</t>
    </r>
    <r>
      <rPr>
        <rFont val="Arial"/>
        <sz val="9.0"/>
      </rPr>
      <t xml:space="preserve"> </t>
    </r>
  </si>
  <si>
    <t>21/04/2026 21:10</t>
  </si>
  <si>
    <r>
      <rPr>
        <rFont val="Arial"/>
        <sz val="9.0"/>
        <u/>
      </rPr>
      <t>https://x.com/AkelaAsbi/status/2046220186379034942</t>
    </r>
    <r>
      <rPr>
        <rFont val="Arial"/>
        <sz val="9.0"/>
      </rPr>
      <t xml:space="preserve"> </t>
    </r>
  </si>
  <si>
    <t>20/04/2026 19:01</t>
  </si>
  <si>
    <r>
      <rPr>
        <rFont val="Arial"/>
        <sz val="9.0"/>
        <u/>
      </rPr>
      <t>https://x.com/AkelaAsbi/status/2046219683532358124</t>
    </r>
    <r>
      <rPr>
        <rFont val="Arial"/>
        <sz val="9.0"/>
      </rPr>
      <t xml:space="preserve"> </t>
    </r>
  </si>
  <si>
    <t>20/04/2026 18:59</t>
  </si>
  <si>
    <r>
      <rPr>
        <rFont val="Arial"/>
        <sz val="9.0"/>
        <u/>
      </rPr>
      <t>https://x.com/AkelaAsbi/status/2046218933011874134</t>
    </r>
    <r>
      <rPr>
        <rFont val="Arial"/>
        <sz val="9.0"/>
      </rPr>
      <t xml:space="preserve"> </t>
    </r>
  </si>
  <si>
    <t>20/04/2026 18:56</t>
  </si>
  <si>
    <r>
      <rPr>
        <rFont val="Arial"/>
        <sz val="9.0"/>
        <u/>
      </rPr>
      <t>https://x.com/BPriyakar/status/2045685304330457551</t>
    </r>
    <r>
      <rPr>
        <rFont val="Arial"/>
        <sz val="9.0"/>
      </rPr>
      <t xml:space="preserve"> </t>
    </r>
  </si>
  <si>
    <t>19/04/2026 07:35</t>
  </si>
  <si>
    <r>
      <rPr>
        <rFont val="Arial"/>
        <sz val="9.0"/>
        <u/>
      </rPr>
      <t>https://x.com/bharat_pan3/status/2043305000743649285</t>
    </r>
    <r>
      <rPr>
        <rFont val="Arial"/>
        <sz val="9.0"/>
      </rPr>
      <t xml:space="preserve"> </t>
    </r>
  </si>
  <si>
    <t>12/04/2026 17:57</t>
  </si>
  <si>
    <r>
      <rPr>
        <rFont val="Arial"/>
        <sz val="9.0"/>
        <u/>
      </rPr>
      <t>https://x.com/bharat_pan3/status/2042854869317619993</t>
    </r>
    <r>
      <rPr>
        <rFont val="Arial"/>
        <sz val="9.0"/>
      </rPr>
      <t xml:space="preserve"> </t>
    </r>
  </si>
  <si>
    <t>11/04/2026 12:08</t>
  </si>
  <si>
    <t>Go Digit General Insurance Co. Ltd.</t>
  </si>
  <si>
    <r>
      <rPr>
        <rFont val="Arial"/>
        <color rgb="FF000000"/>
        <sz val="9.0"/>
        <u/>
      </rPr>
      <t>https://x.com/balduwr/status/2049089606302511193</t>
    </r>
    <r>
      <rPr>
        <rFont val="Arial"/>
        <color rgb="FF000000"/>
        <sz val="9.0"/>
      </rPr>
      <t xml:space="preserve"> </t>
    </r>
  </si>
  <si>
    <t>28/04/2026 17:03</t>
  </si>
  <si>
    <t>28/04/2026 17:07</t>
  </si>
  <si>
    <t>01/05/2026 10:42</t>
  </si>
  <si>
    <t>https://x.com/DURGESH2PANDEY/status/2048812706460058028</t>
  </si>
  <si>
    <t>27/04/2026 22:43</t>
  </si>
  <si>
    <r>
      <rPr>
        <rFont val="Arial"/>
        <color rgb="FF000000"/>
        <sz val="9.0"/>
        <u/>
      </rPr>
      <t>https://x.com/DURGESH2PANDEY/status/2048812482513473758</t>
    </r>
    <r>
      <rPr>
        <rFont val="Arial"/>
        <color rgb="FF000000"/>
        <sz val="9.0"/>
      </rPr>
      <t xml:space="preserve"> </t>
    </r>
  </si>
  <si>
    <t>27/04/2026 22:42</t>
  </si>
  <si>
    <r>
      <rPr>
        <rFont val="Arial"/>
        <color rgb="FF000000"/>
        <sz val="9.0"/>
        <u/>
      </rPr>
      <t>https://x.com/mohitsriv08/status/2048124345202135415</t>
    </r>
    <r>
      <rPr>
        <rFont val="Arial"/>
        <color rgb="FF000000"/>
        <sz val="9.0"/>
      </rPr>
      <t xml:space="preserve"> </t>
    </r>
  </si>
  <si>
    <t>26/04/2026 01:07</t>
  </si>
  <si>
    <t>26/04/2026 10:16</t>
  </si>
  <si>
    <t>26/04/2026 08:58</t>
  </si>
  <si>
    <t>28/04/2026 13:44</t>
  </si>
  <si>
    <t>28/04/2026 13:46</t>
  </si>
  <si>
    <t>28/04/2026 13:47</t>
  </si>
  <si>
    <r>
      <rPr>
        <rFont val="Arial"/>
        <color rgb="FF000000"/>
        <sz val="9.0"/>
        <u/>
      </rPr>
      <t>https://x.com/TariqAyyubi/status/2047280887147184485</t>
    </r>
    <r>
      <rPr>
        <rFont val="Arial"/>
        <color rgb="FF000000"/>
        <sz val="9.0"/>
      </rPr>
      <t xml:space="preserve"> </t>
    </r>
  </si>
  <si>
    <t>23/04/2026 17:16</t>
  </si>
  <si>
    <t>23/04/2026 19:43</t>
  </si>
  <si>
    <r>
      <rPr>
        <rFont val="Arial"/>
        <color rgb="FF000000"/>
        <sz val="9.0"/>
        <u/>
      </rPr>
      <t>https://x.com/jaydeep3262/status/2046896313925869619</t>
    </r>
    <r>
      <rPr>
        <rFont val="Arial"/>
        <color rgb="FF000000"/>
        <sz val="9.0"/>
      </rPr>
      <t xml:space="preserve"> </t>
    </r>
  </si>
  <si>
    <t>22/04/2026 15:48</t>
  </si>
  <si>
    <t>22/04/2026 15:50</t>
  </si>
  <si>
    <t>22/04/2026 15:55</t>
  </si>
  <si>
    <r>
      <rPr>
        <rFont val="Arial"/>
        <color rgb="FF000000"/>
        <sz val="9.0"/>
        <u/>
      </rPr>
      <t>https://x.com/giridhers/status/2045368008655405124</t>
    </r>
    <r>
      <rPr>
        <rFont val="Arial"/>
        <color rgb="FF000000"/>
        <sz val="9.0"/>
      </rPr>
      <t xml:space="preserve"> </t>
    </r>
  </si>
  <si>
    <t>18/04/2026 10:35</t>
  </si>
  <si>
    <t>18/04/2026 10:55</t>
  </si>
  <si>
    <t>18/04/2026 11:01</t>
  </si>
  <si>
    <r>
      <rPr>
        <rFont val="Arial"/>
        <color rgb="FF000000"/>
        <sz val="9.0"/>
        <u/>
      </rPr>
      <t>https://x.com/BharathMorea/status/2044292582361182208</t>
    </r>
    <r>
      <rPr>
        <rFont val="Arial"/>
        <color rgb="FF000000"/>
        <sz val="9.0"/>
      </rPr>
      <t xml:space="preserve"> </t>
    </r>
  </si>
  <si>
    <t>15/04/2026 11:21</t>
  </si>
  <si>
    <r>
      <rPr>
        <rFont val="Arial"/>
        <color rgb="FF000000"/>
        <sz val="9.0"/>
        <u/>
      </rPr>
      <t>https://x.com/Kamesh_ti/status/2043640385474531378</t>
    </r>
    <r>
      <rPr>
        <rFont val="Arial"/>
        <color rgb="FF000000"/>
        <sz val="9.0"/>
      </rPr>
      <t xml:space="preserve"> </t>
    </r>
  </si>
  <si>
    <t>13/04/2026 16:10</t>
  </si>
  <si>
    <r>
      <rPr>
        <rFont val="Arial"/>
        <color rgb="FF000000"/>
        <sz val="9.0"/>
        <u/>
      </rPr>
      <t>https://x.com/digitalvj1008/status/2042950517740200215</t>
    </r>
    <r>
      <rPr>
        <rFont val="Arial"/>
        <color rgb="FF000000"/>
        <sz val="9.0"/>
      </rPr>
      <t xml:space="preserve"> </t>
    </r>
  </si>
  <si>
    <t>11/04/2026 18:28</t>
  </si>
  <si>
    <t>11/04/2026 18:31</t>
  </si>
  <si>
    <t>15/04/2026 17:36</t>
  </si>
  <si>
    <t>16/04/2026 10:23</t>
  </si>
  <si>
    <t>17/04/2026 12:10</t>
  </si>
  <si>
    <r>
      <rPr>
        <rFont val="Arial"/>
        <color rgb="FF000000"/>
        <sz val="9.0"/>
        <u/>
      </rPr>
      <t>https://x.com/ajay_boc/status/2042612340559139265</t>
    </r>
    <r>
      <rPr>
        <rFont val="Arial"/>
        <color rgb="FF000000"/>
        <sz val="9.0"/>
      </rPr>
      <t xml:space="preserve"> </t>
    </r>
  </si>
  <si>
    <t>10/04/2026 20:05</t>
  </si>
  <si>
    <t>11/04/2026 10:05</t>
  </si>
  <si>
    <t>14/04/2026 18:54</t>
  </si>
  <si>
    <r>
      <rPr>
        <rFont val="Arial"/>
        <color rgb="FF000000"/>
        <sz val="9.0"/>
        <u/>
      </rPr>
      <t>https://x.com/IAmShriyank/status/2042467660378882295</t>
    </r>
    <r>
      <rPr>
        <rFont val="Arial"/>
        <color rgb="FF000000"/>
        <sz val="9.0"/>
      </rPr>
      <t xml:space="preserve"> </t>
    </r>
  </si>
  <si>
    <t>10/04/2026 10:30</t>
  </si>
  <si>
    <t>10/04/2026 10:35</t>
  </si>
  <si>
    <r>
      <rPr>
        <rFont val="Arial"/>
        <color rgb="FF000000"/>
        <sz val="9.0"/>
        <u/>
      </rPr>
      <t>https://x.com/theManojMathew/status/2042217385227366606</t>
    </r>
    <r>
      <rPr>
        <rFont val="Arial"/>
        <color rgb="FF000000"/>
        <sz val="9.0"/>
      </rPr>
      <t xml:space="preserve"> </t>
    </r>
  </si>
  <si>
    <t>09/04/2026 17:55</t>
  </si>
  <si>
    <t>09/04/2026 17:59</t>
  </si>
  <si>
    <t>09/04/2026 18:20</t>
  </si>
  <si>
    <t>09/04/2026 18:21</t>
  </si>
  <si>
    <t>09/04/2026 20:20</t>
  </si>
  <si>
    <t>10/04/2026 12:17</t>
  </si>
  <si>
    <t>10/04/2026 10:11</t>
  </si>
  <si>
    <t>14/04/2026 12:06</t>
  </si>
  <si>
    <t>10/04/2026 10:38</t>
  </si>
  <si>
    <r>
      <rPr>
        <rFont val="Arial"/>
        <color rgb="FF000000"/>
        <sz val="9.0"/>
        <u/>
      </rPr>
      <t>https://x.com/shyam12b/status/2042133690852241876</t>
    </r>
    <r>
      <rPr>
        <rFont val="Arial"/>
        <color rgb="FF000000"/>
        <sz val="9.0"/>
      </rPr>
      <t xml:space="preserve"> </t>
    </r>
  </si>
  <si>
    <t>09/04/2026 12:23</t>
  </si>
  <si>
    <r>
      <rPr>
        <rFont val="Arial"/>
        <color rgb="FF000000"/>
        <sz val="9.0"/>
        <u/>
      </rPr>
      <t>https://x.com/hassanarif007/status/2040419646676033782</t>
    </r>
    <r>
      <rPr>
        <rFont val="Arial"/>
        <color rgb="FF000000"/>
        <sz val="9.0"/>
      </rPr>
      <t xml:space="preserve"> </t>
    </r>
  </si>
  <si>
    <t>04/04/2026 18:52</t>
  </si>
  <si>
    <t>05/04/2026 16:10</t>
  </si>
  <si>
    <t>06/04/2026 17:21</t>
  </si>
  <si>
    <t>07/04/2026 17:50</t>
  </si>
  <si>
    <t>07/04/2026 19:07</t>
  </si>
  <si>
    <t>08/04/2026 18:14</t>
  </si>
  <si>
    <r>
      <rPr>
        <rFont val="Arial"/>
        <color rgb="FF000000"/>
        <sz val="9.0"/>
        <u/>
      </rPr>
      <t>https://x.com/Sharath85852559/status/2039773915011276972</t>
    </r>
    <r>
      <rPr>
        <rFont val="Arial"/>
        <color rgb="FF000000"/>
        <sz val="9.0"/>
      </rPr>
      <t xml:space="preserve"> </t>
    </r>
  </si>
  <si>
    <t>03/04/2026 00:06</t>
  </si>
  <si>
    <t>03/04/2026 10:23</t>
  </si>
  <si>
    <t>05/04/2026 12:10</t>
  </si>
  <si>
    <t>05/04/2026 12:11</t>
  </si>
  <si>
    <r>
      <rPr>
        <rFont val="Arial"/>
        <color rgb="FF000000"/>
        <sz val="9.0"/>
        <u/>
      </rPr>
      <t>https://x.com/dass_nb/status/2039706122588950787</t>
    </r>
    <r>
      <rPr>
        <rFont val="Arial"/>
        <color rgb="FF000000"/>
        <sz val="9.0"/>
      </rPr>
      <t xml:space="preserve"> </t>
    </r>
  </si>
  <si>
    <t>02/04/2026 19:36</t>
  </si>
  <si>
    <t>02/04/2026 19:39</t>
  </si>
  <si>
    <t>02/04/2026 20:06</t>
  </si>
  <si>
    <t>02/04/2026 21:34</t>
  </si>
  <si>
    <t>Generali Central India Insurance Co. Ltd.</t>
  </si>
  <si>
    <r>
      <rPr>
        <rFont val="Arial"/>
        <sz val="9.0"/>
        <u/>
      </rPr>
      <t>https://x.com/Sahilstillalive/status/2046788802782613663</t>
    </r>
    <r>
      <rPr>
        <rFont val="Arial"/>
        <sz val="9.0"/>
      </rPr>
      <t xml:space="preserve"> </t>
    </r>
  </si>
  <si>
    <t>22/04/2026 08:40</t>
  </si>
  <si>
    <r>
      <rPr>
        <rFont val="Arial"/>
        <sz val="9.0"/>
        <u/>
      </rPr>
      <t>https://x.com/reachsoum/status/2041077819363717358</t>
    </r>
    <r>
      <rPr>
        <rFont val="Arial"/>
        <sz val="9.0"/>
      </rPr>
      <t xml:space="preserve"> </t>
    </r>
  </si>
  <si>
    <t>06/04/2026 14:27</t>
  </si>
  <si>
    <t>06/04/2026 18:46</t>
  </si>
  <si>
    <t>07/04/2026 13:34</t>
  </si>
  <si>
    <r>
      <rPr>
        <rFont val="Arial"/>
        <sz val="9.0"/>
        <u/>
      </rPr>
      <t>https://x.com/guptajyoti10/status/2040705248403325366</t>
    </r>
    <r>
      <rPr>
        <rFont val="Arial"/>
        <sz val="9.0"/>
      </rPr>
      <t xml:space="preserve"> </t>
    </r>
  </si>
  <si>
    <t>05/04/2026 13:47</t>
  </si>
  <si>
    <t>HDFC ERGO GIC</t>
  </si>
  <si>
    <r>
      <rPr>
        <rFont val="Arial"/>
        <color rgb="FF000000"/>
        <sz val="9.0"/>
        <u/>
      </rPr>
      <t>https://x.com/INDIASUPERF/status/2049436346142675388</t>
    </r>
    <r>
      <rPr>
        <rFont val="Arial"/>
        <color rgb="FF000000"/>
        <sz val="9.0"/>
      </rPr>
      <t xml:space="preserve"> </t>
    </r>
  </si>
  <si>
    <t>29/04/2026 16:01</t>
  </si>
  <si>
    <t>29/04/2026 16:09</t>
  </si>
  <si>
    <t>04/05/2026 21:40</t>
  </si>
  <si>
    <r>
      <rPr>
        <rFont val="Arial"/>
        <color rgb="FF000000"/>
        <sz val="9.0"/>
        <u/>
      </rPr>
      <t>https://x.com/INDIASUPERF/status/2049435741789540462</t>
    </r>
    <r>
      <rPr>
        <rFont val="Arial"/>
        <color rgb="FF000000"/>
        <sz val="9.0"/>
      </rPr>
      <t xml:space="preserve"> </t>
    </r>
  </si>
  <si>
    <t>29/04/2026 15:58</t>
  </si>
  <si>
    <r>
      <rPr>
        <rFont val="Arial"/>
        <color rgb="FF000000"/>
        <sz val="9.0"/>
        <u/>
      </rPr>
      <t>https://x.com/INDIASUPERF/status/2049429991709106493</t>
    </r>
    <r>
      <rPr>
        <rFont val="Arial"/>
        <color rgb="FF000000"/>
        <sz val="9.0"/>
      </rPr>
      <t xml:space="preserve"> </t>
    </r>
  </si>
  <si>
    <t>29/04/2026 15:36</t>
  </si>
  <si>
    <r>
      <rPr>
        <rFont val="Arial"/>
        <color rgb="FF000000"/>
        <sz val="9.0"/>
        <u/>
      </rPr>
      <t>https://x.com/nikhiljondy/status/2049396563789987926</t>
    </r>
    <r>
      <rPr>
        <rFont val="Arial"/>
        <color rgb="FF000000"/>
        <sz val="9.0"/>
      </rPr>
      <t xml:space="preserve"> </t>
    </r>
  </si>
  <si>
    <t>29/04/2026 13:23</t>
  </si>
  <si>
    <t>29/04/2026 14:01</t>
  </si>
  <si>
    <r>
      <rPr>
        <rFont val="Arial"/>
        <color rgb="FF000000"/>
        <sz val="9.0"/>
        <u/>
      </rPr>
      <t>https://x.com/6968bd165ebd4b6/status/2049395723234689248</t>
    </r>
    <r>
      <rPr>
        <rFont val="Arial"/>
        <color rgb="FF000000"/>
        <sz val="9.0"/>
      </rPr>
      <t xml:space="preserve"> </t>
    </r>
  </si>
  <si>
    <t>29/04/2026 13:19</t>
  </si>
  <si>
    <r>
      <rPr>
        <rFont val="Arial"/>
        <color rgb="FF000000"/>
        <sz val="9.0"/>
        <u/>
      </rPr>
      <t>https://x.com/gogiavaibhav/status/2049383958606229835</t>
    </r>
    <r>
      <rPr>
        <rFont val="Arial"/>
        <color rgb="FF000000"/>
        <sz val="9.0"/>
      </rPr>
      <t xml:space="preserve"> </t>
    </r>
  </si>
  <si>
    <t>29/04/2026 12:33</t>
  </si>
  <si>
    <t>29/04/2026 12:43</t>
  </si>
  <si>
    <t>29/04/2026 14:43</t>
  </si>
  <si>
    <t>29/04/2026 16:43</t>
  </si>
  <si>
    <r>
      <rPr>
        <rFont val="Arial"/>
        <color rgb="FF000000"/>
        <sz val="9.0"/>
        <u/>
      </rPr>
      <t>https://x.com/Sameer097897041/status/2049375975310590017</t>
    </r>
    <r>
      <rPr>
        <rFont val="Arial"/>
        <color rgb="FF000000"/>
        <sz val="9.0"/>
      </rPr>
      <t xml:space="preserve"> </t>
    </r>
  </si>
  <si>
    <t>29/04/2026 12:01</t>
  </si>
  <si>
    <t>29/04/2026 12:24</t>
  </si>
  <si>
    <r>
      <rPr>
        <rFont val="Arial"/>
        <color rgb="FF000000"/>
        <sz val="9.0"/>
        <u/>
      </rPr>
      <t>https://x.com/Bharatiya2047/status/2049115224041824512</t>
    </r>
    <r>
      <rPr>
        <rFont val="Arial"/>
        <color rgb="FF000000"/>
        <sz val="9.0"/>
      </rPr>
      <t xml:space="preserve"> </t>
    </r>
  </si>
  <si>
    <t>28/04/2026 18:45</t>
  </si>
  <si>
    <t>28/04/2026 18:47</t>
  </si>
  <si>
    <t>28/04/2026 18:56</t>
  </si>
  <si>
    <r>
      <rPr>
        <rFont val="Arial"/>
        <color rgb="FF000000"/>
        <sz val="9.0"/>
        <u/>
      </rPr>
      <t>https://x.com/nimittthegreat/status/2049115193129807902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</si>
  <si>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https://x.com/nimittthegreat/status/2049102626063802689</t>
    </r>
    <r>
      <rPr>
        <rFont val="Arial"/>
        <color rgb="FF000000"/>
        <sz val="9.0"/>
      </rPr>
      <t xml:space="preserve"> </t>
    </r>
  </si>
  <si>
    <t>28/04/2026 17:55</t>
  </si>
  <si>
    <r>
      <rPr>
        <rFont val="Arial"/>
        <color rgb="FF000000"/>
        <sz val="9.0"/>
        <u/>
      </rPr>
      <t>https://x.com/asureshkr/status/2049090156783931661</t>
    </r>
    <r>
      <rPr>
        <rFont val="Arial"/>
        <color rgb="FF000000"/>
        <sz val="9.0"/>
      </rPr>
      <t xml:space="preserve"> </t>
    </r>
  </si>
  <si>
    <t>28/04/2026 17:05</t>
  </si>
  <si>
    <t>28/04/2026 17:11</t>
  </si>
  <si>
    <t>28/04/2026 17:33</t>
  </si>
  <si>
    <t>11/05/2026 10:30</t>
  </si>
  <si>
    <r>
      <rPr>
        <rFont val="Arial"/>
        <color rgb="FF000000"/>
        <sz val="9.0"/>
        <u/>
      </rPr>
      <t>https://x.com/Old_Basmati_75/status/2049039855930536219</t>
    </r>
    <r>
      <rPr>
        <rFont val="Arial"/>
        <color rgb="FF000000"/>
        <sz val="9.0"/>
      </rPr>
      <t xml:space="preserve"> </t>
    </r>
  </si>
  <si>
    <t>28/04/2026 13:45</t>
  </si>
  <si>
    <r>
      <rPr>
        <rFont val="Arial"/>
        <color rgb="FF000000"/>
        <sz val="9.0"/>
        <u/>
      </rPr>
      <t>https://x.com/Sidd_Pati/status/2049018482847781196</t>
    </r>
    <r>
      <rPr>
        <rFont val="Arial"/>
        <color rgb="FF000000"/>
        <sz val="9.0"/>
      </rPr>
      <t xml:space="preserve"> </t>
    </r>
  </si>
  <si>
    <t>28/04/2026 12:20</t>
  </si>
  <si>
    <t>28/04/2026 12:26</t>
  </si>
  <si>
    <t>28/04/2026 12:49</t>
  </si>
  <si>
    <t>28/04/2026 16:05</t>
  </si>
  <si>
    <t>28/04/2026 16:36</t>
  </si>
  <si>
    <t>28/04/2026 16:40</t>
  </si>
  <si>
    <t>28/04/2026 22:15</t>
  </si>
  <si>
    <t>30/04/2026 23:12</t>
  </si>
  <si>
    <r>
      <rPr>
        <rFont val="Arial"/>
        <color rgb="FF000000"/>
        <sz val="9.0"/>
        <u/>
      </rPr>
      <t>https://x.com/ramangupta1958/status/2049001959777329206</t>
    </r>
    <r>
      <rPr>
        <rFont val="Arial"/>
        <color rgb="FF000000"/>
        <sz val="9.0"/>
      </rPr>
      <t xml:space="preserve"> </t>
    </r>
  </si>
  <si>
    <t>28/04/2026 11:15</t>
  </si>
  <si>
    <r>
      <rPr>
        <rFont val="Arial"/>
        <color rgb="FF000000"/>
        <sz val="9.0"/>
        <u/>
      </rPr>
      <t>https://x.com/t_bhattacharyya/status/2048992073756594647</t>
    </r>
    <r>
      <rPr>
        <rFont val="Arial"/>
        <color rgb="FF000000"/>
        <sz val="9.0"/>
      </rPr>
      <t xml:space="preserve"> </t>
    </r>
  </si>
  <si>
    <t>28/04/2026 10:35</t>
  </si>
  <si>
    <t>28/04/2026 10:41</t>
  </si>
  <si>
    <t>28/04/2026 10:45</t>
  </si>
  <si>
    <t>28/04/2026 10:47</t>
  </si>
  <si>
    <t>28/04/2026 10:48</t>
  </si>
  <si>
    <t>28/04/2026 10:50</t>
  </si>
  <si>
    <r>
      <rPr>
        <rFont val="Arial"/>
        <color rgb="FF000000"/>
        <sz val="9.0"/>
        <u/>
      </rPr>
      <t>https://x.com/Nitinhacks/status/2048770646029775125</t>
    </r>
    <r>
      <rPr>
        <rFont val="Arial"/>
        <color rgb="FF000000"/>
        <sz val="9.0"/>
      </rPr>
      <t xml:space="preserve"> </t>
    </r>
  </si>
  <si>
    <t>27/04/2026 19:56</t>
  </si>
  <si>
    <t>27/04/2026 20:05</t>
  </si>
  <si>
    <r>
      <rPr>
        <rFont val="Arial"/>
        <color rgb="FF000000"/>
        <sz val="9.0"/>
        <u/>
      </rPr>
      <t>https://x.com/abhijain1977/status/2048762843659723114</t>
    </r>
    <r>
      <rPr>
        <rFont val="Arial"/>
        <color rgb="FF000000"/>
        <sz val="9.0"/>
      </rPr>
      <t xml:space="preserve"> </t>
    </r>
  </si>
  <si>
    <t>27/04/2026 19:25</t>
  </si>
  <si>
    <t>27/04/2026 19:33</t>
  </si>
  <si>
    <t>27/04/2026 20:26</t>
  </si>
  <si>
    <t>27/04/2026 22:32</t>
  </si>
  <si>
    <t>27/04/2026 22:52</t>
  </si>
  <si>
    <t>27/04/2026 22:58</t>
  </si>
  <si>
    <t>28/04/2026 20:23</t>
  </si>
  <si>
    <r>
      <rPr>
        <rFont val="Arial"/>
        <color rgb="FF000000"/>
        <sz val="9.0"/>
        <u/>
      </rPr>
      <t>https://x.com/nissansari/status/2048735819360583723</t>
    </r>
    <r>
      <rPr>
        <rFont val="Arial"/>
        <color rgb="FF000000"/>
        <sz val="9.0"/>
      </rPr>
      <t xml:space="preserve"> </t>
    </r>
  </si>
  <si>
    <t>27/04/2026 17:37</t>
  </si>
  <si>
    <r>
      <rPr>
        <rFont val="Arial"/>
        <color rgb="FF000000"/>
        <sz val="9.0"/>
        <u/>
      </rPr>
      <t>https://x.com/ravindralahane1/status/2048704488736006144</t>
    </r>
    <r>
      <rPr>
        <rFont val="Arial"/>
        <color rgb="FF000000"/>
        <sz val="9.0"/>
      </rPr>
      <t xml:space="preserve"> </t>
    </r>
  </si>
  <si>
    <t>27/04/2026 15:33</t>
  </si>
  <si>
    <t>27/04/2026 15:35</t>
  </si>
  <si>
    <t>28/04/2026 11:37</t>
  </si>
  <si>
    <t>04/05/2026 22:46</t>
  </si>
  <si>
    <t>29/04/2026 19:58</t>
  </si>
  <si>
    <r>
      <rPr>
        <rFont val="Arial"/>
        <color rgb="FF000000"/>
        <sz val="9.0"/>
        <u/>
      </rPr>
      <t>https://x.com/murali603/status/2048649370028114262</t>
    </r>
    <r>
      <rPr>
        <rFont val="Arial"/>
        <color rgb="FF000000"/>
        <sz val="9.0"/>
      </rPr>
      <t xml:space="preserve"> </t>
    </r>
  </si>
  <si>
    <t>27/04/2026 11:54</t>
  </si>
  <si>
    <t>27/04/2026 12:05</t>
  </si>
  <si>
    <t>27/04/2026 15:46</t>
  </si>
  <si>
    <t>27/04/2026 17:49</t>
  </si>
  <si>
    <t>27/04/2026 19:48</t>
  </si>
  <si>
    <t>27/04/2026 21:42</t>
  </si>
  <si>
    <r>
      <rPr>
        <rFont val="Arial"/>
        <color rgb="FF000000"/>
        <sz val="9.0"/>
        <u/>
      </rPr>
      <t>https://x.com/Ankitdugar30/status/2048649008512741715</t>
    </r>
    <r>
      <rPr>
        <rFont val="Arial"/>
        <color rgb="FF000000"/>
        <sz val="9.0"/>
      </rPr>
      <t xml:space="preserve"> </t>
    </r>
  </si>
  <si>
    <t>27/04/2026 11:52</t>
  </si>
  <si>
    <t>27/04/2026 11:56</t>
  </si>
  <si>
    <t>27/04/2026 13:11</t>
  </si>
  <si>
    <t>27/04/2026 13:27</t>
  </si>
  <si>
    <t>27/04/2026 14:23</t>
  </si>
  <si>
    <t>27/04/2026 15:27</t>
  </si>
  <si>
    <t>27/04/2026 17:10</t>
  </si>
  <si>
    <t>27/04/2026 17:13</t>
  </si>
  <si>
    <t>28/04/2026 11:47</t>
  </si>
  <si>
    <t>28/04/2026 12:29</t>
  </si>
  <si>
    <t>28/04/2026 19:01</t>
  </si>
  <si>
    <t>29/04/2026 23:55</t>
  </si>
  <si>
    <t>29/04/2026 09:34</t>
  </si>
  <si>
    <t>30/04/2026 10:57</t>
  </si>
  <si>
    <r>
      <rPr>
        <rFont val="Arial"/>
        <color rgb="FF000000"/>
        <sz val="9.0"/>
        <u/>
      </rPr>
      <t>https://x.com/amitshaw_7/status/2048637403150385562</t>
    </r>
    <r>
      <rPr>
        <rFont val="Arial"/>
        <color rgb="FF000000"/>
        <sz val="9.0"/>
      </rPr>
      <t xml:space="preserve"> </t>
    </r>
  </si>
  <si>
    <t>27/04/2026 11:06</t>
  </si>
  <si>
    <r>
      <rPr>
        <rFont val="Arial"/>
        <color rgb="FF000000"/>
        <sz val="9.0"/>
        <u/>
      </rPr>
      <t>https://x.com/shivammdesai/status/2048620272681652682</t>
    </r>
    <r>
      <rPr>
        <rFont val="Arial"/>
        <color rgb="FF000000"/>
        <sz val="9.0"/>
      </rPr>
      <t xml:space="preserve"> </t>
    </r>
  </si>
  <si>
    <t>27/04/2026 09:58</t>
  </si>
  <si>
    <t>27/04/2026 10:06</t>
  </si>
  <si>
    <t>27/04/2026 10:13</t>
  </si>
  <si>
    <t>27/04/2026 10:27</t>
  </si>
  <si>
    <t>27/04/2026 10:16</t>
  </si>
  <si>
    <t>27/04/2026 10:30</t>
  </si>
  <si>
    <t>27/04/2026 11:30</t>
  </si>
  <si>
    <r>
      <rPr>
        <rFont val="Arial"/>
        <color rgb="FF000000"/>
        <sz val="9.0"/>
        <u/>
      </rPr>
      <t>https://x.com/6968bd165ebd4b6/status/2048604809436221901</t>
    </r>
    <r>
      <rPr>
        <rFont val="Arial"/>
        <color rgb="FF000000"/>
        <sz val="9.0"/>
      </rPr>
      <t xml:space="preserve"> </t>
    </r>
  </si>
  <si>
    <t>27/04/2026 08:57</t>
  </si>
  <si>
    <t>27/04/2026 09:00</t>
  </si>
  <si>
    <t>27/04/2026 11:01</t>
  </si>
  <si>
    <r>
      <rPr>
        <rFont val="Arial"/>
        <color rgb="FF000000"/>
        <sz val="9.0"/>
        <u/>
      </rPr>
      <t>https://x.com/iamSR1610/status/2048600894087090401</t>
    </r>
    <r>
      <rPr>
        <rFont val="Arial"/>
        <color rgb="FF000000"/>
        <sz val="9.0"/>
      </rPr>
      <t xml:space="preserve"> </t>
    </r>
  </si>
  <si>
    <t>27/04/2026 08:41</t>
  </si>
  <si>
    <t>27/04/2026 09:01</t>
  </si>
  <si>
    <t>27/04/2026 14:15</t>
  </si>
  <si>
    <t>28/04/2026 20:32</t>
  </si>
  <si>
    <t>28/04/2026 23:55</t>
  </si>
  <si>
    <r>
      <rPr>
        <rFont val="Arial"/>
        <color rgb="FF000000"/>
        <sz val="9.0"/>
        <u/>
      </rPr>
      <t>https://x.com/manalfarooquee/status/2048426096652382272</t>
    </r>
    <r>
      <rPr>
        <rFont val="Arial"/>
        <color rgb="FF000000"/>
        <sz val="9.0"/>
      </rPr>
      <t xml:space="preserve"> </t>
    </r>
  </si>
  <si>
    <t>26/04/2026 21:06</t>
  </si>
  <si>
    <r>
      <rPr>
        <rFont val="Arial"/>
        <color rgb="FF000000"/>
        <sz val="9.0"/>
        <u/>
      </rPr>
      <t>https://x.com/vidhi_bhati/status/2048417339914506361</t>
    </r>
    <r>
      <rPr>
        <rFont val="Arial"/>
        <color rgb="FF000000"/>
        <sz val="9.0"/>
      </rPr>
      <t xml:space="preserve"> </t>
    </r>
  </si>
  <si>
    <t>26/04/2026 20:32</t>
  </si>
  <si>
    <t>26/04/2026 22:51</t>
  </si>
  <si>
    <t>26/04/2026 20:33</t>
  </si>
  <si>
    <t>27/04/2026 19:20</t>
  </si>
  <si>
    <t>26/04/2026 20:34</t>
  </si>
  <si>
    <t>26/04/2026 20:36</t>
  </si>
  <si>
    <t>26/04/2026 21:05</t>
  </si>
  <si>
    <t>26/04/2026 21:16</t>
  </si>
  <si>
    <t>26/04/2026 21:26</t>
  </si>
  <si>
    <t>26/04/2026 21:32</t>
  </si>
  <si>
    <t>26/04/2026 21:36</t>
  </si>
  <si>
    <r>
      <rPr>
        <rFont val="Arial"/>
        <color rgb="FF000000"/>
        <sz val="9.0"/>
        <u/>
      </rPr>
      <t>https://x.com/MahendraVyhjo1/status/2048420406676406392</t>
    </r>
    <r>
      <rPr>
        <rFont val="Arial"/>
        <color rgb="FF000000"/>
        <sz val="9.0"/>
      </rPr>
      <t xml:space="preserve"> </t>
    </r>
  </si>
  <si>
    <t>26/04/2026 20:44</t>
  </si>
  <si>
    <t>26/04/2026 20:58</t>
  </si>
  <si>
    <t>26/04/2026 20:45</t>
  </si>
  <si>
    <t>26/04/2026 22:58</t>
  </si>
  <si>
    <t>27/04/2026 00:58</t>
  </si>
  <si>
    <t>27/04/2026 08:02</t>
  </si>
  <si>
    <t>27/04/2026 08:07</t>
  </si>
  <si>
    <t>27/04/2026 08:29</t>
  </si>
  <si>
    <t>30/04/2026 23:14</t>
  </si>
  <si>
    <r>
      <rPr>
        <rFont val="Arial"/>
        <color rgb="FF000000"/>
        <sz val="9.0"/>
        <u/>
      </rPr>
      <t>https://x.com/AnuragS10207157/status/2048295979439575478</t>
    </r>
    <r>
      <rPr>
        <rFont val="Arial"/>
        <color rgb="FF000000"/>
        <sz val="9.0"/>
      </rPr>
      <t xml:space="preserve"> </t>
    </r>
  </si>
  <si>
    <t>26/04/2026 12:29</t>
  </si>
  <si>
    <t>26/04/2026 12:41</t>
  </si>
  <si>
    <t>26/04/2026 12:42</t>
  </si>
  <si>
    <t>26/04/2026 13:08</t>
  </si>
  <si>
    <r>
      <rPr>
        <rFont val="Arial"/>
        <color rgb="FF000000"/>
        <sz val="9.0"/>
        <u/>
      </rPr>
      <t>https://x.com/Telugu_Indiann/status/2048152533437411573</t>
    </r>
    <r>
      <rPr>
        <rFont val="Arial"/>
        <color rgb="FF000000"/>
        <sz val="9.0"/>
      </rPr>
      <t xml:space="preserve"> </t>
    </r>
  </si>
  <si>
    <t>26/04/2026 02:59</t>
  </si>
  <si>
    <t>26/04/2026 08:02</t>
  </si>
  <si>
    <t>26/04/2026 03:01</t>
  </si>
  <si>
    <t>26/04/2026 10:02</t>
  </si>
  <si>
    <t>26/04/2026 12:02</t>
  </si>
  <si>
    <r>
      <rPr>
        <rFont val="Arial"/>
        <color rgb="FF000000"/>
        <sz val="9.0"/>
        <u/>
      </rPr>
      <t>https://x.com/Thesiddhant20/status/2047991103253823673</t>
    </r>
    <r>
      <rPr>
        <rFont val="Arial"/>
        <color rgb="FF000000"/>
        <sz val="9.0"/>
      </rPr>
      <t xml:space="preserve"> </t>
    </r>
  </si>
  <si>
    <t>25/04/2026 16:18</t>
  </si>
  <si>
    <r>
      <rPr>
        <rFont val="Arial"/>
        <color rgb="FF000000"/>
        <sz val="9.0"/>
        <u/>
      </rPr>
      <t>https://x.com/AjayKhemka13/status/2047915756256624734</t>
    </r>
    <r>
      <rPr>
        <rFont val="Arial"/>
        <color rgb="FF000000"/>
        <sz val="9.0"/>
      </rPr>
      <t xml:space="preserve"> </t>
    </r>
  </si>
  <si>
    <t>25/04/2026 11:18</t>
  </si>
  <si>
    <t>25/04/2026 11:19</t>
  </si>
  <si>
    <r>
      <rPr>
        <rFont val="Arial"/>
        <color rgb="FF000000"/>
        <sz val="9.0"/>
        <u/>
      </rPr>
      <t>https://x.com/sachaikiduniya/status/2047723029640425957</t>
    </r>
    <r>
      <rPr>
        <rFont val="Arial"/>
        <color rgb="FF000000"/>
        <sz val="9.0"/>
      </rPr>
      <t xml:space="preserve"> </t>
    </r>
  </si>
  <si>
    <t>24/04/2026 22:33</t>
  </si>
  <si>
    <r>
      <rPr>
        <rFont val="Arial"/>
        <color rgb="FF000000"/>
        <sz val="9.0"/>
        <u/>
      </rPr>
      <t>https://x.com/GURMAILPANJETON/status/2047705063234433443</t>
    </r>
    <r>
      <rPr>
        <rFont val="Arial"/>
        <color rgb="FF000000"/>
        <sz val="9.0"/>
      </rPr>
      <t xml:space="preserve"> </t>
    </r>
  </si>
  <si>
    <t>24/04/2026 21:21</t>
  </si>
  <si>
    <t>24/04/2026 21:37</t>
  </si>
  <si>
    <t>24/04/2026 22:21</t>
  </si>
  <si>
    <t>28/04/2026 20:27</t>
  </si>
  <si>
    <r>
      <rPr>
        <rFont val="Arial"/>
        <color rgb="FF000000"/>
        <sz val="9.0"/>
        <u/>
      </rPr>
      <t>https://x.com/shikhar456/status/2047696162279592153</t>
    </r>
    <r>
      <rPr>
        <rFont val="Arial"/>
        <color rgb="FF000000"/>
        <sz val="9.0"/>
      </rPr>
      <t xml:space="preserve"> </t>
    </r>
  </si>
  <si>
    <t>24/04/2026 20:46</t>
  </si>
  <si>
    <t>24/04/2026 20:49</t>
  </si>
  <si>
    <t>24/04/2026 22:49</t>
  </si>
  <si>
    <t>25/04/2026 00:49</t>
  </si>
  <si>
    <r>
      <rPr>
        <rFont val="Arial"/>
        <color rgb="FF000000"/>
        <sz val="9.0"/>
        <u/>
      </rPr>
      <t>https://x.com/santoshkummi/status/2047621166442131518</t>
    </r>
    <r>
      <rPr>
        <rFont val="Arial"/>
        <color rgb="FF000000"/>
        <sz val="9.0"/>
      </rPr>
      <t xml:space="preserve"> </t>
    </r>
  </si>
  <si>
    <t>24/04/2026 15:48</t>
  </si>
  <si>
    <t>24/04/2026 15:51</t>
  </si>
  <si>
    <r>
      <rPr>
        <rFont val="Arial"/>
        <color rgb="FF000000"/>
        <sz val="9.0"/>
        <u/>
      </rPr>
      <t>https://x.com/iamSR1610/status/2047618210837795120</t>
    </r>
    <r>
      <rPr>
        <rFont val="Arial"/>
        <color rgb="FF000000"/>
        <sz val="9.0"/>
      </rPr>
      <t xml:space="preserve"> </t>
    </r>
  </si>
  <si>
    <t>24/04/2026 15:36</t>
  </si>
  <si>
    <t>24/04/2026 15:40</t>
  </si>
  <si>
    <t>24/04/2026 18:16</t>
  </si>
  <si>
    <r>
      <rPr>
        <rFont val="Arial"/>
        <color rgb="FF000000"/>
        <sz val="9.0"/>
        <u/>
      </rPr>
      <t>https://x.com/meaksoni/status/2047594349844959474</t>
    </r>
    <r>
      <rPr>
        <rFont val="Arial"/>
        <color rgb="FF000000"/>
        <sz val="9.0"/>
      </rPr>
      <t xml:space="preserve"> </t>
    </r>
  </si>
  <si>
    <t>24/04/2026 14:01</t>
  </si>
  <si>
    <t>24/04/2026 15:24</t>
  </si>
  <si>
    <t>24/04/2026 14:17</t>
  </si>
  <si>
    <t>24/04/2026 17:25</t>
  </si>
  <si>
    <t>24/04/2026 19:25</t>
  </si>
  <si>
    <r>
      <rPr>
        <rFont val="Arial"/>
        <color rgb="FF000000"/>
        <sz val="9.0"/>
        <u/>
      </rPr>
      <t>https://x.com/Old_Basmati_75/status/2047540404606939350</t>
    </r>
    <r>
      <rPr>
        <rFont val="Arial"/>
        <color rgb="FF000000"/>
        <sz val="9.0"/>
      </rPr>
      <t xml:space="preserve"> </t>
    </r>
  </si>
  <si>
    <t>24/04/2026 10:27</t>
  </si>
  <si>
    <t>24/04/2026 10:49</t>
  </si>
  <si>
    <t>24/04/2026 12:49</t>
  </si>
  <si>
    <r>
      <rPr>
        <rFont val="Arial"/>
        <color rgb="FF000000"/>
        <sz val="9.0"/>
        <u/>
      </rPr>
      <t>https://x.com/deep_ch/status/2047529293014798531</t>
    </r>
    <r>
      <rPr>
        <rFont val="Arial"/>
        <color rgb="FF000000"/>
        <sz val="9.0"/>
      </rPr>
      <t xml:space="preserve"> </t>
    </r>
  </si>
  <si>
    <t>24/04/2026 09:43</t>
  </si>
  <si>
    <t>24/04/2026 09:44</t>
  </si>
  <si>
    <t>24/04/2026 09:52</t>
  </si>
  <si>
    <t>05/05/2026 09:45</t>
  </si>
  <si>
    <t>24/04/2026 14:35</t>
  </si>
  <si>
    <r>
      <rPr>
        <rFont val="Arial"/>
        <color rgb="FF000000"/>
        <sz val="9.0"/>
        <u/>
      </rPr>
      <t>https://x.com/viveksinghania0/status/2047236796069958067</t>
    </r>
    <r>
      <rPr>
        <rFont val="Arial"/>
        <color rgb="FF000000"/>
        <sz val="9.0"/>
      </rPr>
      <t xml:space="preserve"> </t>
    </r>
  </si>
  <si>
    <t>23/04/2026 14:21</t>
  </si>
  <si>
    <t>23/04/2026 15:57</t>
  </si>
  <si>
    <t>23/04/2026 17:57</t>
  </si>
  <si>
    <t>23/04/2026 19:58</t>
  </si>
  <si>
    <r>
      <rPr>
        <rFont val="Arial"/>
        <color rgb="FF000000"/>
        <sz val="9.0"/>
        <u/>
      </rPr>
      <t>https://x.com/CMAPrasenjit/status/2047220553287938442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</si>
  <si>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https://x.com/himanshuca212/status/2047204974233600433</t>
    </r>
    <r>
      <rPr>
        <rFont val="Arial"/>
        <color rgb="FF000000"/>
        <sz val="9.0"/>
      </rPr>
      <t xml:space="preserve"> </t>
    </r>
  </si>
  <si>
    <t>23/04/2026 12:14</t>
  </si>
  <si>
    <t>23/04/2026 13:28</t>
  </si>
  <si>
    <t>23/04/2026 12:17</t>
  </si>
  <si>
    <t>23/04/2026 15:28</t>
  </si>
  <si>
    <r>
      <rPr>
        <rFont val="Arial"/>
        <color rgb="FF000000"/>
        <sz val="9.0"/>
        <u/>
      </rPr>
      <t>https://x.com/AjayKhemka13/status/2047187453203923164</t>
    </r>
    <r>
      <rPr>
        <rFont val="Arial"/>
        <color rgb="FF000000"/>
        <sz val="9.0"/>
      </rPr>
      <t xml:space="preserve"> </t>
    </r>
  </si>
  <si>
    <t>23/04/2026 11:04</t>
  </si>
  <si>
    <t>23/04/2026 11:33</t>
  </si>
  <si>
    <t>23/04/2026 11:36</t>
  </si>
  <si>
    <t>07/05/2026 08:48</t>
  </si>
  <si>
    <t>07/05/2026 08:58</t>
  </si>
  <si>
    <r>
      <rPr>
        <rFont val="Arial"/>
        <color rgb="FF000000"/>
        <sz val="9.0"/>
        <u/>
      </rPr>
      <t>https://x.com/SrikanthBhandar/status/2046919464302878908</t>
    </r>
    <r>
      <rPr>
        <rFont val="Arial"/>
        <color rgb="FF000000"/>
        <sz val="9.0"/>
      </rPr>
      <t xml:space="preserve"> </t>
    </r>
  </si>
  <si>
    <t>22/04/2026 17:20</t>
  </si>
  <si>
    <t>10/05/2026 20:20</t>
  </si>
  <si>
    <r>
      <rPr>
        <rFont val="Arial"/>
        <color rgb="FF000000"/>
        <sz val="9.0"/>
        <u/>
      </rPr>
      <t>https://x.com/imrahul_neela/status/2046911057038610520</t>
    </r>
    <r>
      <rPr>
        <rFont val="Arial"/>
        <color rgb="FF000000"/>
        <sz val="9.0"/>
      </rPr>
      <t xml:space="preserve"> </t>
    </r>
  </si>
  <si>
    <t>22/04/2026 16:46</t>
  </si>
  <si>
    <r>
      <rPr>
        <rFont val="Arial"/>
        <color rgb="FF000000"/>
        <sz val="9.0"/>
        <u/>
      </rPr>
      <t>https://x.com/killrinstinct/status/2046893785909764192</t>
    </r>
    <r>
      <rPr>
        <rFont val="Arial"/>
        <color rgb="FF000000"/>
        <sz val="9.0"/>
      </rPr>
      <t xml:space="preserve"> </t>
    </r>
  </si>
  <si>
    <t>22/04/2026 15:38</t>
  </si>
  <si>
    <t>22/04/2026 16:22</t>
  </si>
  <si>
    <r>
      <rPr>
        <rFont val="Arial"/>
        <color rgb="FF000000"/>
        <sz val="9.0"/>
        <u/>
      </rPr>
      <t>https://x.com/satenderachaud1/status/2046877250021360053</t>
    </r>
    <r>
      <rPr>
        <rFont val="Arial"/>
        <color rgb="FF000000"/>
        <sz val="9.0"/>
      </rPr>
      <t xml:space="preserve"> </t>
    </r>
  </si>
  <si>
    <t>22/04/2026 14:32</t>
  </si>
  <si>
    <t>22/04/2026 16:23</t>
  </si>
  <si>
    <r>
      <rPr>
        <rFont val="Arial"/>
        <color rgb="FF000000"/>
        <sz val="9.0"/>
        <u/>
      </rPr>
      <t>https://x.com/SrikanthBhandar/status/2046871735736447242</t>
    </r>
    <r>
      <rPr>
        <rFont val="Arial"/>
        <color rgb="FF000000"/>
        <sz val="9.0"/>
      </rPr>
      <t xml:space="preserve"> </t>
    </r>
  </si>
  <si>
    <t>22/04/2026 14:10</t>
  </si>
  <si>
    <t>22/04/2026 15:14</t>
  </si>
  <si>
    <r>
      <rPr>
        <rFont val="Arial"/>
        <color rgb="FF000000"/>
        <sz val="9.0"/>
        <u/>
      </rPr>
      <t>https://x.com/ChhitijBajpai/status/2046859854766334460</t>
    </r>
    <r>
      <rPr>
        <rFont val="Arial"/>
        <color rgb="FF000000"/>
        <sz val="9.0"/>
      </rPr>
      <t xml:space="preserve"> </t>
    </r>
  </si>
  <si>
    <t>22/04/2026 13:23</t>
  </si>
  <si>
    <r>
      <rPr>
        <rFont val="Arial"/>
        <color rgb="FF000000"/>
        <sz val="9.0"/>
        <u/>
      </rPr>
      <t>https://x.com/sinhak_nilesh/status/2046831372359319567</t>
    </r>
    <r>
      <rPr>
        <rFont val="Arial"/>
        <color rgb="FF000000"/>
        <sz val="9.0"/>
      </rPr>
      <t xml:space="preserve"> </t>
    </r>
  </si>
  <si>
    <t>22/04/2026 11:30</t>
  </si>
  <si>
    <t>22/04/2026 12:20</t>
  </si>
  <si>
    <r>
      <rPr>
        <rFont val="Arial"/>
        <color rgb="FF000000"/>
        <sz val="9.0"/>
        <u/>
      </rPr>
      <t>https://x.com/MohitBediKiwi/status/2046829044143210942</t>
    </r>
    <r>
      <rPr>
        <rFont val="Arial"/>
        <color rgb="FF000000"/>
        <sz val="9.0"/>
      </rPr>
      <t xml:space="preserve"> </t>
    </r>
  </si>
  <si>
    <t>22/04/2026 11:20</t>
  </si>
  <si>
    <t>22/04/2026 11:57</t>
  </si>
  <si>
    <t>22/04/2026 12:14</t>
  </si>
  <si>
    <t>22/04/2026 23:32</t>
  </si>
  <si>
    <t>22/04/2026 13:22</t>
  </si>
  <si>
    <t>24/04/2026 00:35</t>
  </si>
  <si>
    <t>22/04/2026 15:18</t>
  </si>
  <si>
    <t>22/04/2026 20:38</t>
  </si>
  <si>
    <t>23/04/2026 08:06</t>
  </si>
  <si>
    <t>23/04/2026 12:09</t>
  </si>
  <si>
    <t>23/04/2026 12:10</t>
  </si>
  <si>
    <t>23/04/2026 16:10</t>
  </si>
  <si>
    <r>
      <rPr>
        <rFont val="Arial"/>
        <color rgb="FF000000"/>
        <sz val="9.0"/>
        <u/>
      </rPr>
      <t>https://x.com/panks2001/status/2046818077019631617</t>
    </r>
    <r>
      <rPr>
        <rFont val="Arial"/>
        <color rgb="FF000000"/>
        <sz val="9.0"/>
      </rPr>
      <t xml:space="preserve"> </t>
    </r>
  </si>
  <si>
    <t>22/04/2026 10:37</t>
  </si>
  <si>
    <t>22/04/2026 10:49</t>
  </si>
  <si>
    <t>22/04/2026 10:52</t>
  </si>
  <si>
    <t>22/04/2026 11:58</t>
  </si>
  <si>
    <t>22/04/2026 13:45</t>
  </si>
  <si>
    <r>
      <rPr>
        <rFont val="Arial"/>
        <color rgb="FF000000"/>
        <sz val="9.0"/>
        <u/>
      </rPr>
      <t>https://x.com/imrahul_neela/status/2046553134349369480</t>
    </r>
    <r>
      <rPr>
        <rFont val="Arial"/>
        <color rgb="FF000000"/>
        <sz val="9.0"/>
      </rPr>
      <t xml:space="preserve"> </t>
    </r>
  </si>
  <si>
    <t>21/04/2026 17:04</t>
  </si>
  <si>
    <r>
      <rPr>
        <rFont val="Arial"/>
        <color rgb="FF000000"/>
        <sz val="9.0"/>
        <u/>
      </rPr>
      <t>https://x.com/imrahul_neela/status/2046527923814072502</t>
    </r>
    <r>
      <rPr>
        <rFont val="Arial"/>
        <color rgb="FF000000"/>
        <sz val="9.0"/>
      </rPr>
      <t xml:space="preserve"> </t>
    </r>
  </si>
  <si>
    <t>21/04/2026 15:24</t>
  </si>
  <si>
    <t>21/04/2026 15:59</t>
  </si>
  <si>
    <t>21/04/2026 16:58</t>
  </si>
  <si>
    <t>21/04/2026 17:03</t>
  </si>
  <si>
    <r>
      <rPr>
        <rFont val="Arial"/>
        <color rgb="FF000000"/>
        <sz val="9.0"/>
        <u/>
      </rPr>
      <t>https://x.com/deep_ch/status/2046494625175851338</t>
    </r>
    <r>
      <rPr>
        <rFont val="Arial"/>
        <color rgb="FF000000"/>
        <sz val="9.0"/>
      </rPr>
      <t xml:space="preserve"> </t>
    </r>
  </si>
  <si>
    <t>21/04/2026 13:25</t>
  </si>
  <si>
    <t>21/04/2026 13:22</t>
  </si>
  <si>
    <r>
      <rPr>
        <rFont val="Arial"/>
        <color rgb="FF000000"/>
        <sz val="9.0"/>
        <u/>
      </rPr>
      <t>https://x.com/rajde6p/status/2046205626796388675</t>
    </r>
    <r>
      <rPr>
        <rFont val="Arial"/>
        <color rgb="FF000000"/>
        <sz val="9.0"/>
      </rPr>
      <t xml:space="preserve"> </t>
    </r>
  </si>
  <si>
    <t>20/04/2026 18:03</t>
  </si>
  <si>
    <t>20/04/2026 18:07</t>
  </si>
  <si>
    <t>20/04/2026 18:08</t>
  </si>
  <si>
    <r>
      <rPr>
        <rFont val="Arial"/>
        <color rgb="FF000000"/>
        <sz val="9.0"/>
        <u/>
      </rPr>
      <t>https://x.com/neeraj19a/status/2046142663620284872</t>
    </r>
    <r>
      <rPr>
        <rFont val="Arial"/>
        <color rgb="FF000000"/>
        <sz val="9.0"/>
      </rPr>
      <t xml:space="preserve"> </t>
    </r>
  </si>
  <si>
    <t>20/04/2026 13:53</t>
  </si>
  <si>
    <r>
      <rPr>
        <rFont val="Arial"/>
        <color rgb="FF000000"/>
        <sz val="9.0"/>
        <u/>
      </rPr>
      <t>https://x.com/Dheeraj42901603/status/2045816915579576470</t>
    </r>
    <r>
      <rPr>
        <rFont val="Arial"/>
        <color rgb="FF000000"/>
        <sz val="9.0"/>
      </rPr>
      <t xml:space="preserve"> </t>
    </r>
  </si>
  <si>
    <t>19/04/2026 16:18</t>
  </si>
  <si>
    <t>19/04/2026 16:24</t>
  </si>
  <si>
    <t>23/04/2026 09:26</t>
  </si>
  <si>
    <t>28/04/2026 21:11</t>
  </si>
  <si>
    <r>
      <rPr>
        <rFont val="Arial"/>
        <color rgb="FF000000"/>
        <sz val="9.0"/>
        <u/>
      </rPr>
      <t>https://x.com/luckylaxa/status/2045490923946324457</t>
    </r>
    <r>
      <rPr>
        <rFont val="Arial"/>
        <color rgb="FF000000"/>
        <sz val="9.0"/>
      </rPr>
      <t xml:space="preserve"> </t>
    </r>
  </si>
  <si>
    <t>18/04/2026 18:43</t>
  </si>
  <si>
    <t>18/04/2026 19:32</t>
  </si>
  <si>
    <r>
      <rPr>
        <rFont val="Arial"/>
        <color rgb="FF000000"/>
        <sz val="9.0"/>
        <u/>
      </rPr>
      <t>https://x.com/tarunjjw/status/2045358288116793646</t>
    </r>
    <r>
      <rPr>
        <rFont val="Arial"/>
        <color rgb="FF000000"/>
        <sz val="9.0"/>
      </rPr>
      <t xml:space="preserve"> </t>
    </r>
  </si>
  <si>
    <t>18/04/2026 09:56</t>
  </si>
  <si>
    <t>18/04/2026 11:59</t>
  </si>
  <si>
    <t>23/04/2026 23:26</t>
  </si>
  <si>
    <t>18/04/2026 16:13</t>
  </si>
  <si>
    <r>
      <rPr>
        <rFont val="Arial"/>
        <color rgb="FF000000"/>
        <sz val="9.0"/>
        <u/>
      </rPr>
      <t>https://x.com/manasie/status/2045104871624581354</t>
    </r>
    <r>
      <rPr>
        <rFont val="Arial"/>
        <color rgb="FF000000"/>
        <sz val="9.0"/>
      </rPr>
      <t xml:space="preserve"> </t>
    </r>
  </si>
  <si>
    <t>17/04/2026 17:09</t>
  </si>
  <si>
    <t>17/04/2026 17:44</t>
  </si>
  <si>
    <t>18/04/2026 20:19</t>
  </si>
  <si>
    <r>
      <rPr>
        <rFont val="Arial"/>
        <color rgb="FF000000"/>
        <sz val="9.0"/>
        <u/>
      </rPr>
      <t>https://x.com/prshntdagar/status/2045093647738339662</t>
    </r>
    <r>
      <rPr>
        <rFont val="Arial"/>
        <color rgb="FF000000"/>
        <sz val="9.0"/>
      </rPr>
      <t xml:space="preserve"> </t>
    </r>
  </si>
  <si>
    <t>17/04/2026 16:24</t>
  </si>
  <si>
    <t>17/04/2026 16:50</t>
  </si>
  <si>
    <t>23/04/2026 23:29</t>
  </si>
  <si>
    <r>
      <rPr>
        <rFont val="Arial"/>
        <color rgb="FF000000"/>
        <sz val="9.0"/>
        <u/>
      </rPr>
      <t>https://x.com/IamRishabh_tw/status/2045086124436263167</t>
    </r>
    <r>
      <rPr>
        <rFont val="Arial"/>
        <color rgb="FF000000"/>
        <sz val="9.0"/>
      </rPr>
      <t xml:space="preserve"> </t>
    </r>
  </si>
  <si>
    <t>17/04/2026 15:55</t>
  </si>
  <si>
    <t>17/04/2026 15:57</t>
  </si>
  <si>
    <t>17/04/2026 18:07</t>
  </si>
  <si>
    <t>24/04/2026 23:42</t>
  </si>
  <si>
    <t>18/04/2026 07:24</t>
  </si>
  <si>
    <r>
      <rPr>
        <rFont val="Arial"/>
        <color rgb="FF000000"/>
        <sz val="9.0"/>
        <u/>
      </rPr>
      <t>https://x.com/nitpawar/status/2045081135362044360</t>
    </r>
    <r>
      <rPr>
        <rFont val="Arial"/>
        <color rgb="FF000000"/>
        <sz val="9.0"/>
      </rPr>
      <t xml:space="preserve"> </t>
    </r>
  </si>
  <si>
    <t>17/04/2026 15:35</t>
  </si>
  <si>
    <t>17/04/2026 15:40</t>
  </si>
  <si>
    <t>17/04/2026 15:58</t>
  </si>
  <si>
    <t>24/04/2026 23:14</t>
  </si>
  <si>
    <t>17/04/2026 23:27</t>
  </si>
  <si>
    <r>
      <rPr>
        <rFont val="Arial"/>
        <color rgb="FF000000"/>
        <sz val="9.0"/>
        <u/>
      </rPr>
      <t>https://x.com/Manoj23_07/status/2044918355988258947</t>
    </r>
    <r>
      <rPr>
        <rFont val="Arial"/>
        <color rgb="FF000000"/>
        <sz val="9.0"/>
      </rPr>
      <t xml:space="preserve"> </t>
    </r>
  </si>
  <si>
    <t>17/04/2026 04:48</t>
  </si>
  <si>
    <t>17/04/2026 08:37</t>
  </si>
  <si>
    <t>17/04/2026 10:11</t>
  </si>
  <si>
    <t>17/04/2026 10:18</t>
  </si>
  <si>
    <t>17/04/2026 14:20</t>
  </si>
  <si>
    <r>
      <rPr>
        <rFont val="Arial"/>
        <color rgb="FF000000"/>
        <sz val="9.0"/>
        <u/>
      </rPr>
      <t>https://x.com/saltgen/status/2044798093112250580</t>
    </r>
    <r>
      <rPr>
        <rFont val="Arial"/>
        <color rgb="FF000000"/>
        <sz val="9.0"/>
      </rPr>
      <t xml:space="preserve"> </t>
    </r>
  </si>
  <si>
    <t>16/04/2026 20:50</t>
  </si>
  <si>
    <t>16/04/2026 21:01</t>
  </si>
  <si>
    <t>16/04/2026 21:18</t>
  </si>
  <si>
    <t>16/04/2026 21:33</t>
  </si>
  <si>
    <t>17/04/2026 12:45</t>
  </si>
  <si>
    <t>21/04/2026 19:33</t>
  </si>
  <si>
    <t>17/04/2026 21:37</t>
  </si>
  <si>
    <r>
      <rPr>
        <rFont val="Arial"/>
        <color rgb="FF000000"/>
        <sz val="9.0"/>
        <u/>
      </rPr>
      <t>https://x.com/Siddhar01064660/status/2044794921119539350</t>
    </r>
    <r>
      <rPr>
        <rFont val="Arial"/>
        <color rgb="FF000000"/>
        <sz val="9.0"/>
      </rPr>
      <t xml:space="preserve"> </t>
    </r>
  </si>
  <si>
    <t>16/04/2026 20:37</t>
  </si>
  <si>
    <t>16/04/2026 20:41</t>
  </si>
  <si>
    <t>16/04/2026 20:44</t>
  </si>
  <si>
    <t>18/04/2026 20:53</t>
  </si>
  <si>
    <t>18/04/2026 11:48</t>
  </si>
  <si>
    <r>
      <rPr>
        <rFont val="Arial"/>
        <color rgb="FF000000"/>
        <sz val="9.0"/>
        <u/>
      </rPr>
      <t>https://x.com/SarveshSauravt/status/2044750228168044712</t>
    </r>
    <r>
      <rPr>
        <rFont val="Arial"/>
        <color rgb="FF000000"/>
        <sz val="9.0"/>
      </rPr>
      <t xml:space="preserve"> </t>
    </r>
  </si>
  <si>
    <t>16/04/2026 17:40</t>
  </si>
  <si>
    <r>
      <rPr>
        <rFont val="Arial"/>
        <color rgb="FF000000"/>
        <sz val="9.0"/>
        <u/>
      </rPr>
      <t>https://x.com/hiren281086/status/2044708378258346486</t>
    </r>
    <r>
      <rPr>
        <rFont val="Arial"/>
        <color rgb="FF000000"/>
        <sz val="9.0"/>
      </rPr>
      <t xml:space="preserve"> </t>
    </r>
  </si>
  <si>
    <t>16/04/2026 14:54</t>
  </si>
  <si>
    <t>16/04/2026 15:06</t>
  </si>
  <si>
    <r>
      <rPr>
        <rFont val="Arial"/>
        <color rgb="FF000000"/>
        <sz val="9.0"/>
        <u/>
      </rPr>
      <t>https://x.com/income1607/status/2044629459027050540</t>
    </r>
    <r>
      <rPr>
        <rFont val="Arial"/>
        <color rgb="FF000000"/>
        <sz val="9.0"/>
      </rPr>
      <t xml:space="preserve"> </t>
    </r>
  </si>
  <si>
    <t>16/04/2026 09:40</t>
  </si>
  <si>
    <t>16/04/2026 09:48</t>
  </si>
  <si>
    <t>16/04/2026 11:48</t>
  </si>
  <si>
    <t>20/04/2026 16:44</t>
  </si>
  <si>
    <t>27/04/2026 23:11</t>
  </si>
  <si>
    <r>
      <rPr>
        <rFont val="Arial"/>
        <color rgb="FF000000"/>
        <sz val="9.0"/>
        <u/>
      </rPr>
      <t>https://x.com/CMAPrasenjit/status/2044613196334669985</t>
    </r>
    <r>
      <rPr>
        <rFont val="Arial"/>
        <color rgb="FF000000"/>
        <sz val="9.0"/>
      </rPr>
      <t xml:space="preserve"> </t>
    </r>
  </si>
  <si>
    <t>16/04/2026 08:35</t>
  </si>
  <si>
    <r>
      <rPr>
        <rFont val="Arial"/>
        <color rgb="FF000000"/>
        <sz val="9.0"/>
        <u/>
      </rPr>
      <t>https://x.com/3may90/status/2044418923073093970</t>
    </r>
    <r>
      <rPr>
        <rFont val="Arial"/>
        <color rgb="FF000000"/>
        <sz val="9.0"/>
      </rPr>
      <t xml:space="preserve"> </t>
    </r>
  </si>
  <si>
    <t>15/04/2026 19:43</t>
  </si>
  <si>
    <t>15/04/2026 20:05</t>
  </si>
  <si>
    <t>15/04/2026 21:27</t>
  </si>
  <si>
    <t>23/04/2026 23:34</t>
  </si>
  <si>
    <t>16/04/2026 09:12</t>
  </si>
  <si>
    <r>
      <rPr>
        <rFont val="Arial"/>
        <color rgb="FF000000"/>
        <sz val="9.0"/>
        <u/>
      </rPr>
      <t>https://x.com/mohitofmid/status/2044417169342312643</t>
    </r>
    <r>
      <rPr>
        <rFont val="Arial"/>
        <color rgb="FF000000"/>
        <sz val="9.0"/>
      </rPr>
      <t xml:space="preserve"> </t>
    </r>
  </si>
  <si>
    <t>15/04/2026 19:36</t>
  </si>
  <si>
    <r>
      <rPr>
        <rFont val="Arial"/>
        <color rgb="FF000000"/>
        <sz val="9.0"/>
        <u/>
      </rPr>
      <t>https://x.com/nitpawar/status/2044373020010328186</t>
    </r>
    <r>
      <rPr>
        <rFont val="Arial"/>
        <color rgb="FF000000"/>
        <sz val="9.0"/>
      </rPr>
      <t xml:space="preserve"> </t>
    </r>
  </si>
  <si>
    <t>15/04/2026 16:41</t>
  </si>
  <si>
    <r>
      <rPr>
        <rFont val="Arial"/>
        <color rgb="FF000000"/>
        <sz val="9.0"/>
        <u/>
      </rPr>
      <t>https://x.com/santosh_bisht/status/2044297514363523502</t>
    </r>
    <r>
      <rPr>
        <rFont val="Arial"/>
        <color rgb="FF000000"/>
        <sz val="9.0"/>
      </rPr>
      <t xml:space="preserve"> </t>
    </r>
  </si>
  <si>
    <t>15/04/2026 11:41</t>
  </si>
  <si>
    <t>15/04/2026 22:07</t>
  </si>
  <si>
    <r>
      <rPr>
        <rFont val="Arial"/>
        <color rgb="FF000000"/>
        <sz val="9.0"/>
        <u/>
      </rPr>
      <t>https://x.com/BhagatVbek/status/2044290436999860726</t>
    </r>
    <r>
      <rPr>
        <rFont val="Arial"/>
        <color rgb="FF000000"/>
        <sz val="9.0"/>
      </rPr>
      <t xml:space="preserve"> </t>
    </r>
  </si>
  <si>
    <t>15/04/2026 11:13</t>
  </si>
  <si>
    <t>15/04/2026 12:26</t>
  </si>
  <si>
    <t>15/04/2026 14:26</t>
  </si>
  <si>
    <t>15/04/2026 16:26</t>
  </si>
  <si>
    <t>ICICI LOMBARD General Insurance Co. Ltd.</t>
  </si>
  <si>
    <r>
      <rPr>
        <rFont val="Arial"/>
        <color rgb="FF000000"/>
        <sz val="9.0"/>
        <u/>
      </rPr>
      <t>https://x.com/shah_nandan1994/status/2049536419451052346</t>
    </r>
    <r>
      <rPr>
        <rFont val="Arial"/>
        <color rgb="FF000000"/>
        <sz val="9.0"/>
      </rPr>
      <t xml:space="preserve"> </t>
    </r>
  </si>
  <si>
    <t>29/04/2026 22:38</t>
  </si>
  <si>
    <t>30/04/2026 11:03</t>
  </si>
  <si>
    <r>
      <rPr>
        <rFont val="Arial"/>
        <color rgb="FF000000"/>
        <sz val="9.0"/>
        <u/>
      </rPr>
      <t>https://x.com/imgite/status/2049460932192215223</t>
    </r>
    <r>
      <rPr>
        <rFont val="Arial"/>
        <color rgb="FF000000"/>
        <sz val="9.0"/>
      </rPr>
      <t xml:space="preserve"> </t>
    </r>
  </si>
  <si>
    <t>29/04/2026 17:38</t>
  </si>
  <si>
    <t>29/04/2026 18:39</t>
  </si>
  <si>
    <r>
      <rPr>
        <rFont val="Arial"/>
        <color rgb="FF000000"/>
        <sz val="9.0"/>
        <u/>
      </rPr>
      <t>https://x.com/harshilpatel139/status/2049458125443653790</t>
    </r>
    <r>
      <rPr>
        <rFont val="Arial"/>
        <color rgb="FF000000"/>
        <sz val="9.0"/>
      </rPr>
      <t xml:space="preserve"> </t>
    </r>
  </si>
  <si>
    <t>29/04/2026 17:27</t>
  </si>
  <si>
    <t>29/04/2026 17:32</t>
  </si>
  <si>
    <t>29/04/2026 17:42</t>
  </si>
  <si>
    <t>30/04/2026 11:43</t>
  </si>
  <si>
    <t>29/04/2026 21:05</t>
  </si>
  <si>
    <t>04/05/2026 10:45</t>
  </si>
  <si>
    <t>03/05/2026 19:10</t>
  </si>
  <si>
    <t>08/05/2026 15:18</t>
  </si>
  <si>
    <t>08/05/2026 22:30</t>
  </si>
  <si>
    <t>25/05/2026 16:28</t>
  </si>
  <si>
    <r>
      <rPr>
        <rFont val="Arial"/>
        <color rgb="FF000000"/>
        <sz val="9.0"/>
        <u/>
      </rPr>
      <t>https://x.com/Thetaurusgirl16/status/2049435928889073953</t>
    </r>
    <r>
      <rPr>
        <rFont val="Arial"/>
        <color rgb="FF000000"/>
        <sz val="9.0"/>
      </rPr>
      <t xml:space="preserve"> </t>
    </r>
  </si>
  <si>
    <t>29/04/2026 15:59</t>
  </si>
  <si>
    <r>
      <rPr>
        <rFont val="Arial"/>
        <color rgb="FF000000"/>
        <sz val="9.0"/>
        <u/>
      </rPr>
      <t>https://x.com/Manish_Neon/status/2049428900514795690</t>
    </r>
    <r>
      <rPr>
        <rFont val="Arial"/>
        <color rgb="FF000000"/>
        <sz val="9.0"/>
      </rPr>
      <t xml:space="preserve"> </t>
    </r>
  </si>
  <si>
    <t>29/04/2026 15:31</t>
  </si>
  <si>
    <t>29/04/2026 16:19</t>
  </si>
  <si>
    <t>29/04/2026 15:38</t>
  </si>
  <si>
    <t>30/04/2026 15:21</t>
  </si>
  <si>
    <t>30/04/2026 16:01</t>
  </si>
  <si>
    <t>05/05/2026 17:39</t>
  </si>
  <si>
    <t>01/05/2026 13:40</t>
  </si>
  <si>
    <t>03/05/2026 17:04</t>
  </si>
  <si>
    <t>05/05/2026 00:19</t>
  </si>
  <si>
    <t>05/05/2026 10:46</t>
  </si>
  <si>
    <t>07/05/2026 18:31</t>
  </si>
  <si>
    <r>
      <rPr>
        <rFont val="Arial"/>
        <color rgb="FF000000"/>
        <sz val="9.0"/>
        <u/>
      </rPr>
      <t>https://x.com/nirjharsingh3/status/2049327107202056557</t>
    </r>
    <r>
      <rPr>
        <rFont val="Arial"/>
        <color rgb="FF000000"/>
        <sz val="9.0"/>
      </rPr>
      <t xml:space="preserve"> </t>
    </r>
  </si>
  <si>
    <t>29/04/2026 08:47</t>
  </si>
  <si>
    <t>29/04/2026 10:22</t>
  </si>
  <si>
    <r>
      <rPr>
        <rFont val="Arial"/>
        <color rgb="FF000000"/>
        <sz val="9.0"/>
        <u/>
      </rPr>
      <t>https://x.com/biswa4evr/status/2049174661502529826</t>
    </r>
    <r>
      <rPr>
        <rFont val="Arial"/>
        <color rgb="FF000000"/>
        <sz val="9.0"/>
      </rPr>
      <t xml:space="preserve"> </t>
    </r>
  </si>
  <si>
    <t>28/04/2026 22:41</t>
  </si>
  <si>
    <t>29/04/2026 10:17</t>
  </si>
  <si>
    <t>29/04/2026 00:08</t>
  </si>
  <si>
    <r>
      <rPr>
        <rFont val="Arial"/>
        <color rgb="FF000000"/>
        <sz val="9.0"/>
        <u/>
      </rPr>
      <t>https://x.com/sunypd/status/2049105553507672532</t>
    </r>
    <r>
      <rPr>
        <rFont val="Arial"/>
        <color rgb="FF000000"/>
        <sz val="9.0"/>
      </rPr>
      <t xml:space="preserve"> </t>
    </r>
  </si>
  <si>
    <t>28/04/2026 18:06</t>
  </si>
  <si>
    <t>28/04/2026 18:12</t>
  </si>
  <si>
    <t>04/05/2026 18:30</t>
  </si>
  <si>
    <r>
      <rPr>
        <rFont val="Arial"/>
        <color rgb="FF000000"/>
        <sz val="9.0"/>
        <u/>
      </rPr>
      <t>https://x.com/B_alert_ji/status/2049086394786865416</t>
    </r>
    <r>
      <rPr>
        <rFont val="Arial"/>
        <color rgb="FF000000"/>
        <sz val="9.0"/>
      </rPr>
      <t xml:space="preserve"> </t>
    </r>
  </si>
  <si>
    <t>28/04/2026 16:50</t>
  </si>
  <si>
    <t>28/04/2026 17:13</t>
  </si>
  <si>
    <r>
      <rPr>
        <rFont val="Arial"/>
        <color rgb="FF000000"/>
        <sz val="9.0"/>
        <u/>
      </rPr>
      <t>https://x.com/sidroy25260/status/2049060737511989401</t>
    </r>
    <r>
      <rPr>
        <rFont val="Arial"/>
        <color rgb="FF000000"/>
        <sz val="9.0"/>
      </rPr>
      <t xml:space="preserve"> </t>
    </r>
  </si>
  <si>
    <t>28/04/2026 15:08</t>
  </si>
  <si>
    <t>28/04/2026 15:26</t>
  </si>
  <si>
    <r>
      <rPr>
        <rFont val="Arial"/>
        <color rgb="FF000000"/>
        <sz val="9.0"/>
        <u/>
      </rPr>
      <t>https://x.com/shiv_shantanu/status/2048831205316186575</t>
    </r>
    <r>
      <rPr>
        <rFont val="Arial"/>
        <color rgb="FF000000"/>
        <sz val="9.0"/>
      </rPr>
      <t xml:space="preserve"> </t>
    </r>
  </si>
  <si>
    <t>27/04/2026 23:56</t>
  </si>
  <si>
    <t>28/04/2026 12:05</t>
  </si>
  <si>
    <t>28/04/2026 16:02</t>
  </si>
  <si>
    <r>
      <rPr>
        <rFont val="Arial"/>
        <color rgb="FF000000"/>
        <sz val="9.0"/>
        <u/>
      </rPr>
      <t>https://x.com/ajitgurnani/status/2048785587537404142</t>
    </r>
    <r>
      <rPr>
        <rFont val="Arial"/>
        <color rgb="FF000000"/>
        <sz val="9.0"/>
      </rPr>
      <t xml:space="preserve"> </t>
    </r>
  </si>
  <si>
    <t>27/04/2026 20:55</t>
  </si>
  <si>
    <t>29/04/2026 10:48</t>
  </si>
  <si>
    <t>28/04/2026 11:07</t>
  </si>
  <si>
    <t>30/04/2026 10:51</t>
  </si>
  <si>
    <t>29/04/2026 08:20</t>
  </si>
  <si>
    <t>06/05/2026 10:06</t>
  </si>
  <si>
    <t>29/04/2026 12:27</t>
  </si>
  <si>
    <t>06/05/2026 12:39</t>
  </si>
  <si>
    <t>29/04/2026 17:21</t>
  </si>
  <si>
    <t>10/05/2026 15:02</t>
  </si>
  <si>
    <t>30/04/2026 10:49</t>
  </si>
  <si>
    <t>13/05/2026 13:14</t>
  </si>
  <si>
    <t>06/05/2026 12:22</t>
  </si>
  <si>
    <t>16/05/2026 11:13</t>
  </si>
  <si>
    <t>06/05/2026 12:24</t>
  </si>
  <si>
    <t>31/05/2026 15:48</t>
  </si>
  <si>
    <t>07/05/2026 12:05</t>
  </si>
  <si>
    <r>
      <rPr>
        <rFont val="Arial"/>
        <color rgb="FF000000"/>
        <sz val="9.0"/>
        <u/>
      </rPr>
      <t>https://x.com/rrameshbabu07/status/2048770712236904839</t>
    </r>
    <r>
      <rPr>
        <rFont val="Arial"/>
        <color rgb="FF000000"/>
        <sz val="9.0"/>
      </rPr>
      <t xml:space="preserve"> </t>
    </r>
  </si>
  <si>
    <t>28/04/2026 10:05</t>
  </si>
  <si>
    <t>04/05/2026 19:00</t>
  </si>
  <si>
    <r>
      <rPr>
        <rFont val="Arial"/>
        <color rgb="FF000000"/>
        <sz val="9.0"/>
        <u/>
      </rPr>
      <t>https://x.com/IamtheVaibhavD/status/2048765365484974326</t>
    </r>
    <r>
      <rPr>
        <rFont val="Arial"/>
        <color rgb="FF000000"/>
        <sz val="9.0"/>
      </rPr>
      <t xml:space="preserve"> </t>
    </r>
  </si>
  <si>
    <t>27/04/2026 19:35</t>
  </si>
  <si>
    <t>28/04/2026 10:04</t>
  </si>
  <si>
    <t>27/04/2026 19:36</t>
  </si>
  <si>
    <t>28/04/2026 11:56</t>
  </si>
  <si>
    <t>29/04/2026 17:03</t>
  </si>
  <si>
    <r>
      <rPr>
        <rFont val="Arial"/>
        <color rgb="FF000000"/>
        <sz val="9.0"/>
        <u/>
      </rPr>
      <t>https://x.com/jitesh_business/status/2048708545173172225</t>
    </r>
    <r>
      <rPr>
        <rFont val="Arial"/>
        <color rgb="FF000000"/>
        <sz val="9.0"/>
      </rPr>
      <t xml:space="preserve"> </t>
    </r>
  </si>
  <si>
    <t>27/04/2026 15:49</t>
  </si>
  <si>
    <t>27/04/2026 17:14</t>
  </si>
  <si>
    <t>06/05/2026 13:50</t>
  </si>
  <si>
    <r>
      <rPr>
        <rFont val="Arial"/>
        <color rgb="FF000000"/>
        <sz val="9.0"/>
        <u/>
      </rPr>
      <t>https://x.com/LeekhaVarun/status/2048669505073922280</t>
    </r>
    <r>
      <rPr>
        <rFont val="Arial"/>
        <color rgb="FF000000"/>
        <sz val="9.0"/>
      </rPr>
      <t xml:space="preserve"> </t>
    </r>
  </si>
  <si>
    <t>27/04/2026 13:14</t>
  </si>
  <si>
    <t>27/04/2026 14:09</t>
  </si>
  <si>
    <t>29/04/2026 15:44</t>
  </si>
  <si>
    <t>28/04/2026 15:12</t>
  </si>
  <si>
    <r>
      <rPr>
        <rFont val="Arial"/>
        <color rgb="FF000000"/>
        <sz val="9.0"/>
        <u/>
      </rPr>
      <t>https://x.com/abusalem907/status/2048382145878802650</t>
    </r>
    <r>
      <rPr>
        <rFont val="Arial"/>
        <color rgb="FF000000"/>
        <sz val="9.0"/>
      </rPr>
      <t xml:space="preserve"> </t>
    </r>
  </si>
  <si>
    <t>26/04/2026 18:12</t>
  </si>
  <si>
    <t>26/04/2026 18:24</t>
  </si>
  <si>
    <t>26/04/2026 18:35</t>
  </si>
  <si>
    <r>
      <rPr>
        <rFont val="Arial"/>
        <color rgb="FF000000"/>
        <sz val="9.0"/>
        <u/>
      </rPr>
      <t>https://x.com/nrk771/status/2048361159670345792</t>
    </r>
    <r>
      <rPr>
        <rFont val="Arial"/>
        <color rgb="FF000000"/>
        <sz val="9.0"/>
      </rPr>
      <t xml:space="preserve"> </t>
    </r>
  </si>
  <si>
    <t>26/04/2026 16:48</t>
  </si>
  <si>
    <t>26/04/2026 17:13</t>
  </si>
  <si>
    <t>26/04/2026 18:58</t>
  </si>
  <si>
    <t>26/04/2026 19:09</t>
  </si>
  <si>
    <t>28/04/2026 10:40</t>
  </si>
  <si>
    <t>28/04/2026 11:48</t>
  </si>
  <si>
    <t>08/05/2026 17:10</t>
  </si>
  <si>
    <t>08/05/2026 17:12</t>
  </si>
  <si>
    <t>08/05/2026 17:14</t>
  </si>
  <si>
    <r>
      <rPr>
        <rFont val="Arial"/>
        <color rgb="FF000000"/>
        <sz val="9.0"/>
        <u/>
      </rPr>
      <t>https://x.com/Vinodrock14/status/2048343341876777043</t>
    </r>
    <r>
      <rPr>
        <rFont val="Arial"/>
        <color rgb="FF000000"/>
        <sz val="9.0"/>
      </rPr>
      <t xml:space="preserve"> </t>
    </r>
  </si>
  <si>
    <t>26/04/2026 15:38</t>
  </si>
  <si>
    <t>26/04/2026 16:09</t>
  </si>
  <si>
    <t>29/04/2026 18:18</t>
  </si>
  <si>
    <r>
      <rPr>
        <rFont val="Arial"/>
        <color rgb="FF000000"/>
        <sz val="9.0"/>
        <u/>
      </rPr>
      <t>https://x.com/shiv_shantanu/status/2047963197760848142</t>
    </r>
    <r>
      <rPr>
        <rFont val="Arial"/>
        <color rgb="FF000000"/>
        <sz val="9.0"/>
      </rPr>
      <t xml:space="preserve"> </t>
    </r>
  </si>
  <si>
    <t>25/04/2026 14:27</t>
  </si>
  <si>
    <t>25/04/2026 15:06</t>
  </si>
  <si>
    <r>
      <rPr>
        <rFont val="Arial"/>
        <color rgb="FF000000"/>
        <sz val="9.0"/>
        <u/>
      </rPr>
      <t>https://x.com/sarvanj/status/2047900325483590057</t>
    </r>
    <r>
      <rPr>
        <rFont val="Arial"/>
        <color rgb="FF000000"/>
        <sz val="9.0"/>
      </rPr>
      <t xml:space="preserve"> </t>
    </r>
  </si>
  <si>
    <t>25/04/2026 10:17</t>
  </si>
  <si>
    <t>25/04/2026 10:21</t>
  </si>
  <si>
    <t>29/04/2026 05:50</t>
  </si>
  <si>
    <t>29/04/2026 15:47</t>
  </si>
  <si>
    <t>04/05/2026 17:46</t>
  </si>
  <si>
    <t>13/05/2026 13:41</t>
  </si>
  <si>
    <r>
      <rPr>
        <rFont val="Arial"/>
        <color rgb="FF000000"/>
        <sz val="9.0"/>
        <u/>
      </rPr>
      <t>https://x.com/ayanc97/status/2047885023349739889</t>
    </r>
    <r>
      <rPr>
        <rFont val="Arial"/>
        <color rgb="FF000000"/>
        <sz val="9.0"/>
      </rPr>
      <t xml:space="preserve"> </t>
    </r>
  </si>
  <si>
    <t>25/04/2026 09:16</t>
  </si>
  <si>
    <t>25/04/2026 12:00</t>
  </si>
  <si>
    <t>25/04/2026 09:19</t>
  </si>
  <si>
    <t>30/04/2026 12:05</t>
  </si>
  <si>
    <t>25/04/2026 09:21</t>
  </si>
  <si>
    <t>06/05/2026 14:49</t>
  </si>
  <si>
    <t>25/04/2026 11:25</t>
  </si>
  <si>
    <t>25/04/2026 11:41</t>
  </si>
  <si>
    <t>25/04/2026 12:19</t>
  </si>
  <si>
    <t>25/04/2026 12:22</t>
  </si>
  <si>
    <t>26/04/2026 16:59</t>
  </si>
  <si>
    <t>29/04/2026 16:23</t>
  </si>
  <si>
    <r>
      <rPr>
        <rFont val="Arial"/>
        <color rgb="FF000000"/>
        <sz val="9.0"/>
        <u/>
      </rPr>
      <t>https://x.com/Pavan36556891/status/2047740790651363337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</si>
  <si>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https://x.com/k6472107/status/2047682474797662384</t>
    </r>
    <r>
      <rPr>
        <rFont val="Arial"/>
        <color rgb="FF000000"/>
        <sz val="9.0"/>
      </rPr>
      <t xml:space="preserve"> </t>
    </r>
  </si>
  <si>
    <t>25/04/2026 10:36</t>
  </si>
  <si>
    <r>
      <rPr>
        <rFont val="Arial"/>
        <color rgb="FF000000"/>
        <sz val="9.0"/>
        <u/>
      </rPr>
      <t>https://x.com/ShivamG61933537/status/2047587653626056956</t>
    </r>
    <r>
      <rPr>
        <rFont val="Arial"/>
        <color rgb="FF000000"/>
        <sz val="9.0"/>
      </rPr>
      <t xml:space="preserve"> </t>
    </r>
  </si>
  <si>
    <t>24/04/2026 13:35</t>
  </si>
  <si>
    <t>05/05/2026 08:43</t>
  </si>
  <si>
    <t>05/05/2026 10:08</t>
  </si>
  <si>
    <t>05/05/2026 10:48</t>
  </si>
  <si>
    <r>
      <rPr>
        <rFont val="Arial"/>
        <color rgb="FF000000"/>
        <sz val="9.0"/>
        <u/>
      </rPr>
      <t>https://x.com/SahilMendirata/status/2047537219032993900</t>
    </r>
    <r>
      <rPr>
        <rFont val="Arial"/>
        <color rgb="FF000000"/>
        <sz val="9.0"/>
      </rPr>
      <t xml:space="preserve"> </t>
    </r>
  </si>
  <si>
    <t>24/04/2026 10:14</t>
  </si>
  <si>
    <t>24/04/2026 10:45</t>
  </si>
  <si>
    <r>
      <rPr>
        <rFont val="Arial"/>
        <color rgb="FF000000"/>
        <sz val="9.0"/>
        <u/>
      </rPr>
      <t>https://x.com/AJAB2707/status/2047370027016536446</t>
    </r>
    <r>
      <rPr>
        <rFont val="Arial"/>
        <color rgb="FF000000"/>
        <sz val="9.0"/>
      </rPr>
      <t xml:space="preserve"> </t>
    </r>
  </si>
  <si>
    <t>23/04/2026 23:10</t>
  </si>
  <si>
    <t>23/04/2026 23:11</t>
  </si>
  <si>
    <t>13/05/2026 18:14</t>
  </si>
  <si>
    <r>
      <rPr>
        <rFont val="Arial"/>
        <color rgb="FF000000"/>
        <sz val="9.0"/>
        <u/>
      </rPr>
      <t>https://x.com/kapilgandha/status/2047258846692098337</t>
    </r>
    <r>
      <rPr>
        <rFont val="Arial"/>
        <color rgb="FF000000"/>
        <sz val="9.0"/>
      </rPr>
      <t xml:space="preserve"> </t>
    </r>
  </si>
  <si>
    <t>23/04/2026 15:48</t>
  </si>
  <si>
    <t>23/04/2026 16:36</t>
  </si>
  <si>
    <t>24/04/2026 13:30</t>
  </si>
  <si>
    <r>
      <rPr>
        <rFont val="Arial"/>
        <color rgb="FF000000"/>
        <sz val="9.0"/>
        <u/>
      </rPr>
      <t>https://x.com/Croww_things/status/2047255096967520368</t>
    </r>
    <r>
      <rPr>
        <rFont val="Arial"/>
        <color rgb="FF000000"/>
        <sz val="9.0"/>
      </rPr>
      <t xml:space="preserve"> </t>
    </r>
  </si>
  <si>
    <t>23/04/2026 15:33</t>
  </si>
  <si>
    <t>23/04/2026 16:13</t>
  </si>
  <si>
    <t>24/04/2026 18:37</t>
  </si>
  <si>
    <r>
      <rPr>
        <rFont val="Arial"/>
        <color rgb="FF000000"/>
        <sz val="9.0"/>
        <u/>
      </rPr>
      <t>https://x.com/kumar3kailash/status/2047194909569122350</t>
    </r>
    <r>
      <rPr>
        <rFont val="Arial"/>
        <color rgb="FF000000"/>
        <sz val="9.0"/>
      </rPr>
      <t xml:space="preserve"> </t>
    </r>
  </si>
  <si>
    <t>23/04/2026 11:34</t>
  </si>
  <si>
    <t>23/04/2026 11:39</t>
  </si>
  <si>
    <t>23/04/2026 15:35</t>
  </si>
  <si>
    <t>23/04/2026 18:28</t>
  </si>
  <si>
    <r>
      <rPr>
        <rFont val="Arial"/>
        <color rgb="FF000000"/>
        <sz val="9.0"/>
        <u/>
      </rPr>
      <t>https://x.com/lokeshschauhan/status/2047182081223254195</t>
    </r>
    <r>
      <rPr>
        <rFont val="Arial"/>
        <color rgb="FF000000"/>
        <sz val="9.0"/>
      </rPr>
      <t xml:space="preserve"> </t>
    </r>
  </si>
  <si>
    <t>23/04/2026 10:43</t>
  </si>
  <si>
    <t>23/04/2026 10:52</t>
  </si>
  <si>
    <r>
      <rPr>
        <rFont val="Arial"/>
        <color rgb="FF000000"/>
        <sz val="9.0"/>
        <u/>
      </rPr>
      <t>https://x.com/VISHAL4995/status/2046988759871496551</t>
    </r>
    <r>
      <rPr>
        <rFont val="Arial"/>
        <color rgb="FF000000"/>
        <sz val="9.0"/>
      </rPr>
      <t xml:space="preserve"> </t>
    </r>
  </si>
  <si>
    <t>22/04/2026 21:55</t>
  </si>
  <si>
    <r>
      <rPr>
        <rFont val="Arial"/>
        <color rgb="FF000000"/>
        <sz val="9.0"/>
        <u/>
      </rPr>
      <t>https://x.com/satish_parchure/status/2046487909419856380</t>
    </r>
    <r>
      <rPr>
        <rFont val="Arial"/>
        <color rgb="FF000000"/>
        <sz val="9.0"/>
      </rPr>
      <t xml:space="preserve"> </t>
    </r>
  </si>
  <si>
    <t>21/04/2026 12:45</t>
  </si>
  <si>
    <t>23/04/2026 17:06</t>
  </si>
  <si>
    <r>
      <rPr>
        <rFont val="Arial"/>
        <color rgb="FF000000"/>
        <sz val="9.0"/>
        <u/>
      </rPr>
      <t>https://x.com/PrameyZode/status/2046457093935530015</t>
    </r>
    <r>
      <rPr>
        <rFont val="Arial"/>
        <color rgb="FF000000"/>
        <sz val="9.0"/>
      </rPr>
      <t xml:space="preserve"> </t>
    </r>
  </si>
  <si>
    <t>21/04/2026 10:49</t>
  </si>
  <si>
    <t>21/04/2026 10:58</t>
  </si>
  <si>
    <t>21/04/2026 11:23</t>
  </si>
  <si>
    <t>28/04/2026 14:31</t>
  </si>
  <si>
    <r>
      <rPr>
        <rFont val="Arial"/>
        <color rgb="FF000000"/>
        <sz val="9.0"/>
        <u/>
      </rPr>
      <t>https://x.com/BeriwalaDe56699/status/2046433407274750202</t>
    </r>
    <r>
      <rPr>
        <rFont val="Arial"/>
        <color rgb="FF000000"/>
        <sz val="9.0"/>
      </rPr>
      <t xml:space="preserve"> </t>
    </r>
  </si>
  <si>
    <t>21/04/2026 09:08</t>
  </si>
  <si>
    <t>21/04/2026 10:27</t>
  </si>
  <si>
    <t>22/04/2026 10:55</t>
  </si>
  <si>
    <t>22/04/2026 10:56</t>
  </si>
  <si>
    <t>23/04/2026 11:57</t>
  </si>
  <si>
    <t>22/04/2026 19:05</t>
  </si>
  <si>
    <t>23/04/2026 11:58</t>
  </si>
  <si>
    <t>12/05/2026 12:02</t>
  </si>
  <si>
    <t>24/04/2026 15:17</t>
  </si>
  <si>
    <t>13/05/2026 13:35</t>
  </si>
  <si>
    <t>24/04/2026 15:37</t>
  </si>
  <si>
    <t>12/05/2026 12:03</t>
  </si>
  <si>
    <r>
      <rPr>
        <rFont val="Arial"/>
        <color rgb="FF000000"/>
        <sz val="9.0"/>
        <u/>
      </rPr>
      <t>https://x.com/DeepaRa78514154/status/2046392195671056836</t>
    </r>
    <r>
      <rPr>
        <rFont val="Arial"/>
        <color rgb="FF000000"/>
        <sz val="9.0"/>
      </rPr>
      <t xml:space="preserve"> </t>
    </r>
  </si>
  <si>
    <t>21/04/2026 06:24</t>
  </si>
  <si>
    <t>21/04/2026 10:31</t>
  </si>
  <si>
    <t>06/05/2026 13:49</t>
  </si>
  <si>
    <r>
      <rPr>
        <rFont val="Arial"/>
        <color rgb="FF000000"/>
        <sz val="9.0"/>
        <u/>
      </rPr>
      <t>https://x.com/cdsksp/status/2046301955300180339</t>
    </r>
    <r>
      <rPr>
        <rFont val="Arial"/>
        <color rgb="FF000000"/>
        <sz val="9.0"/>
      </rPr>
      <t xml:space="preserve"> </t>
    </r>
  </si>
  <si>
    <t>21/04/2026 00:26</t>
  </si>
  <si>
    <t>21/04/2026 10:35</t>
  </si>
  <si>
    <r>
      <rPr>
        <rFont val="Arial"/>
        <color rgb="FF000000"/>
        <sz val="9.0"/>
        <u/>
      </rPr>
      <t>https://x.com/cdsksp/status/2046301797179162821</t>
    </r>
    <r>
      <rPr>
        <rFont val="Arial"/>
        <color rgb="FF000000"/>
        <sz val="9.0"/>
      </rPr>
      <t xml:space="preserve"> </t>
    </r>
  </si>
  <si>
    <t>21/04/2026 00:25</t>
  </si>
  <si>
    <r>
      <rPr>
        <rFont val="Arial"/>
        <color rgb="FF000000"/>
        <sz val="9.0"/>
        <u/>
      </rPr>
      <t>https://x.com/imNsheikh/status/2046233758396039175</t>
    </r>
    <r>
      <rPr>
        <rFont val="Arial"/>
        <color rgb="FF000000"/>
        <sz val="9.0"/>
      </rPr>
      <t xml:space="preserve"> </t>
    </r>
  </si>
  <si>
    <t>20/04/2026 19:55</t>
  </si>
  <si>
    <t>21/04/2026 10:52</t>
  </si>
  <si>
    <t>28/04/2026 17:42</t>
  </si>
  <si>
    <t>07/05/2026 18:13</t>
  </si>
  <si>
    <r>
      <rPr>
        <rFont val="Arial"/>
        <color rgb="FF000000"/>
        <sz val="9.0"/>
        <u/>
      </rPr>
      <t>https://x.com/sarcasticjeerer/status/2046138185080857073</t>
    </r>
    <r>
      <rPr>
        <rFont val="Arial"/>
        <color rgb="FF000000"/>
        <sz val="9.0"/>
      </rPr>
      <t xml:space="preserve"> </t>
    </r>
  </si>
  <si>
    <t>20/04/2026 13:35</t>
  </si>
  <si>
    <t>20/04/2026 13:37</t>
  </si>
  <si>
    <t>21/04/2026 17:09</t>
  </si>
  <si>
    <r>
      <rPr>
        <rFont val="Arial"/>
        <color rgb="FF000000"/>
        <sz val="9.0"/>
        <u/>
      </rPr>
      <t>https://x.com/prakhar_gaur/status/2046120678202741158</t>
    </r>
    <r>
      <rPr>
        <rFont val="Arial"/>
        <color rgb="FF000000"/>
        <sz val="9.0"/>
      </rPr>
      <t xml:space="preserve"> </t>
    </r>
  </si>
  <si>
    <t>20/04/2026 12:25</t>
  </si>
  <si>
    <r>
      <rPr>
        <rFont val="Arial"/>
        <color rgb="FF000000"/>
        <sz val="9.0"/>
        <u/>
      </rPr>
      <t>https://x.com/Vaishnav2Bharat/status/2046085892553802000</t>
    </r>
    <r>
      <rPr>
        <rFont val="Arial"/>
        <color rgb="FF000000"/>
        <sz val="9.0"/>
      </rPr>
      <t xml:space="preserve"> </t>
    </r>
  </si>
  <si>
    <t>20/04/2026 10:07</t>
  </si>
  <si>
    <t>20/04/2026 10:50</t>
  </si>
  <si>
    <t>20/04/2026 15:35</t>
  </si>
  <si>
    <t>20/04/2026 15:38</t>
  </si>
  <si>
    <t>29/04/202622:16</t>
  </si>
  <si>
    <t>30/04/2026 11:46</t>
  </si>
  <si>
    <r>
      <rPr>
        <rFont val="Arial"/>
        <color rgb="FF000000"/>
        <sz val="9.0"/>
        <u/>
      </rPr>
      <t>https://x.com/TheSahu2/status/2046074699474784339</t>
    </r>
    <r>
      <rPr>
        <rFont val="Arial"/>
        <color rgb="FF000000"/>
        <sz val="9.0"/>
      </rPr>
      <t xml:space="preserve"> </t>
    </r>
  </si>
  <si>
    <t>20/04/2026 09:23</t>
  </si>
  <si>
    <t>20/04/2026 10:49</t>
  </si>
  <si>
    <t>20/04/2026 12:44</t>
  </si>
  <si>
    <r>
      <rPr>
        <rFont val="Arial"/>
        <color rgb="FF000000"/>
        <sz val="9.0"/>
        <u/>
      </rPr>
      <t>https://x.com/RajaKumar947294/status/2045947313043255406</t>
    </r>
    <r>
      <rPr>
        <rFont val="Arial"/>
        <color rgb="FF000000"/>
        <sz val="9.0"/>
      </rPr>
      <t xml:space="preserve"> </t>
    </r>
  </si>
  <si>
    <t>20/04/2026 00:57</t>
  </si>
  <si>
    <t>20/04/2026 12:09</t>
  </si>
  <si>
    <r>
      <rPr>
        <rFont val="Arial"/>
        <color rgb="FF000000"/>
        <sz val="9.0"/>
        <u/>
      </rPr>
      <t>https://x.com/RajaKumar947294/status/2042543860048629995</t>
    </r>
    <r>
      <rPr>
        <rFont val="Arial"/>
        <color rgb="FF000000"/>
        <sz val="9.0"/>
      </rPr>
      <t xml:space="preserve"> </t>
    </r>
  </si>
  <si>
    <t>10/04/2026 15:32</t>
  </si>
  <si>
    <t>10/04/2026 15:39</t>
  </si>
  <si>
    <t>12/04/2026 15:37</t>
  </si>
  <si>
    <t>12/04/2026 16:54</t>
  </si>
  <si>
    <t>16/04/2026 17:12</t>
  </si>
  <si>
    <r>
      <rPr>
        <rFont val="Arial"/>
        <color rgb="FF000000"/>
        <sz val="9.0"/>
        <u/>
      </rPr>
      <t>https://x.com/amitesh_gayen/status/2045888266667524502</t>
    </r>
    <r>
      <rPr>
        <rFont val="Arial"/>
        <color rgb="FF000000"/>
        <sz val="9.0"/>
      </rPr>
      <t xml:space="preserve"> </t>
    </r>
  </si>
  <si>
    <t>19/04/2026 21:02</t>
  </si>
  <si>
    <t>20/04/2026 10:36</t>
  </si>
  <si>
    <t>20/04/2026 12:03</t>
  </si>
  <si>
    <t>25/04/2026 15:58</t>
  </si>
  <si>
    <t>08/05/2026 16:13</t>
  </si>
  <si>
    <r>
      <rPr>
        <rFont val="Arial"/>
        <color rgb="FF000000"/>
        <sz val="9.0"/>
        <u/>
      </rPr>
      <t>https://x.com/Rahulfgt0/status/2045871238103597443</t>
    </r>
    <r>
      <rPr>
        <rFont val="Arial"/>
        <color rgb="FF000000"/>
        <sz val="9.0"/>
      </rPr>
      <t xml:space="preserve"> </t>
    </r>
  </si>
  <si>
    <t>19/04/2026 19:54</t>
  </si>
  <si>
    <t>20/04/2026 10:38</t>
  </si>
  <si>
    <t>30/04/2026 18:28</t>
  </si>
  <si>
    <r>
      <rPr>
        <rFont val="Arial"/>
        <color rgb="FF000000"/>
        <sz val="9.0"/>
        <u/>
      </rPr>
      <t>https://x.com/phoneylogics/status/2045744540867510583</t>
    </r>
    <r>
      <rPr>
        <rFont val="Arial"/>
        <color rgb="FF000000"/>
        <sz val="9.0"/>
      </rPr>
      <t xml:space="preserve"> </t>
    </r>
  </si>
  <si>
    <t>19/04/2026 11:31</t>
  </si>
  <si>
    <t>19/04/2026 11:54</t>
  </si>
  <si>
    <t>19/04/2026 12:06</t>
  </si>
  <si>
    <t>19/04/2026 12:32</t>
  </si>
  <si>
    <t>19/04/2026 21:41</t>
  </si>
  <si>
    <t>20/04/2026 12:13</t>
  </si>
  <si>
    <t>20/04/2026 20:49</t>
  </si>
  <si>
    <t>21/04/2026 11:00</t>
  </si>
  <si>
    <t>21/04/2026 11:31</t>
  </si>
  <si>
    <t>26/04/2026 12:05</t>
  </si>
  <si>
    <t>25/04/2026 20:23</t>
  </si>
  <si>
    <t>28/04/2026 15:00</t>
  </si>
  <si>
    <r>
      <rPr>
        <rFont val="Arial"/>
        <color rgb="FF000000"/>
        <sz val="9.0"/>
        <u/>
      </rPr>
      <t>https://x.com/rijeshrajan0810/status/2045489736236851657</t>
    </r>
    <r>
      <rPr>
        <rFont val="Arial"/>
        <color rgb="FF000000"/>
        <sz val="9.0"/>
      </rPr>
      <t xml:space="preserve"> </t>
    </r>
  </si>
  <si>
    <t>18/04/2026 18:38</t>
  </si>
  <si>
    <t>18/04/2026 18:44</t>
  </si>
  <si>
    <t>18/04/2026 18:46</t>
  </si>
  <si>
    <t>20/04/2026 16:53</t>
  </si>
  <si>
    <t>18/04/2026 18:49</t>
  </si>
  <si>
    <t>18/04/2026 18:50</t>
  </si>
  <si>
    <t>18/04/2026 18:53</t>
  </si>
  <si>
    <t>20/04/2026 16:52</t>
  </si>
  <si>
    <r>
      <rPr>
        <rFont val="Arial"/>
        <color rgb="FF000000"/>
        <sz val="9.0"/>
        <u/>
      </rPr>
      <t>https://x.com/anjali33183/status/2045453126824776113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</si>
  <si>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https://x.com/rishik_0/status/2045446112715342206</t>
    </r>
    <r>
      <rPr>
        <rFont val="Arial"/>
        <color rgb="FF000000"/>
        <sz val="9.0"/>
      </rPr>
      <t xml:space="preserve"> </t>
    </r>
  </si>
  <si>
    <t>18/04/2026 15:59</t>
  </si>
  <si>
    <t>19/04/2026 10:19</t>
  </si>
  <si>
    <t>19/04/2026 10:43</t>
  </si>
  <si>
    <t>25/04/2026 12:34</t>
  </si>
  <si>
    <t>28/04/2026 17:48</t>
  </si>
  <si>
    <r>
      <rPr>
        <rFont val="Arial"/>
        <color rgb="FF000000"/>
        <sz val="9.0"/>
        <u/>
      </rPr>
      <t>https://x.com/adholicprashant/status/2045437159310778418</t>
    </r>
    <r>
      <rPr>
        <rFont val="Arial"/>
        <color rgb="FF000000"/>
        <sz val="9.0"/>
      </rPr>
      <t xml:space="preserve"> </t>
    </r>
  </si>
  <si>
    <t>18/04/2026 15:09</t>
  </si>
  <si>
    <t>18/04/2026 15:12</t>
  </si>
  <si>
    <t>18/04/2026 15:10</t>
  </si>
  <si>
    <t>26/04/2026 17:01</t>
  </si>
  <si>
    <r>
      <rPr>
        <rFont val="Arial"/>
        <color rgb="FF000000"/>
        <sz val="9.0"/>
        <u/>
      </rPr>
      <t>https://x.com/SAK00786/status/2045379273339638117</t>
    </r>
    <r>
      <rPr>
        <rFont val="Arial"/>
        <color rgb="FF000000"/>
        <sz val="9.0"/>
      </rPr>
      <t xml:space="preserve"> </t>
    </r>
  </si>
  <si>
    <t>18/04/2026 11:19</t>
  </si>
  <si>
    <t>18/04/2026 11:27</t>
  </si>
  <si>
    <t>28/04/2026 15:06</t>
  </si>
  <si>
    <r>
      <rPr>
        <rFont val="Arial"/>
        <color rgb="FF000000"/>
        <sz val="9.0"/>
        <u/>
      </rPr>
      <t>https://x.com/goswami_navneet/status/2045354319739023720</t>
    </r>
    <r>
      <rPr>
        <rFont val="Arial"/>
        <color rgb="FF000000"/>
        <sz val="9.0"/>
      </rPr>
      <t xml:space="preserve"> </t>
    </r>
  </si>
  <si>
    <t>18/04/2026 09:40</t>
  </si>
  <si>
    <r>
      <rPr>
        <rFont val="Arial"/>
        <color rgb="FF000000"/>
        <sz val="9.0"/>
        <u/>
      </rPr>
      <t>https://x.com/BharatiyaVaari/status/2044023226557411492</t>
    </r>
    <r>
      <rPr>
        <rFont val="Arial"/>
        <color rgb="FF000000"/>
        <sz val="9.0"/>
      </rPr>
      <t xml:space="preserve"> </t>
    </r>
  </si>
  <si>
    <t>14/04/2026 17:31</t>
  </si>
  <si>
    <r>
      <rPr>
        <rFont val="Arial"/>
        <color rgb="FF000000"/>
        <sz val="9.0"/>
        <u/>
      </rPr>
      <t>https://x.com/raj7rao/status/2045206104528073188</t>
    </r>
    <r>
      <rPr>
        <rFont val="Arial"/>
        <color rgb="FF000000"/>
        <sz val="9.0"/>
      </rPr>
      <t xml:space="preserve"> </t>
    </r>
  </si>
  <si>
    <t>17/04/2026 23:51</t>
  </si>
  <si>
    <t>18/04/2026 10:17</t>
  </si>
  <si>
    <t>19/05/2026 13:11</t>
  </si>
  <si>
    <r>
      <rPr>
        <rFont val="Arial"/>
        <color rgb="FF000000"/>
        <sz val="9.0"/>
        <u/>
      </rPr>
      <t>https://x.com/nigamhimanshu/status/2045034903071555727</t>
    </r>
    <r>
      <rPr>
        <rFont val="Arial"/>
        <color rgb="FF000000"/>
        <sz val="9.0"/>
      </rPr>
      <t xml:space="preserve"> </t>
    </r>
  </si>
  <si>
    <t>17/04/2026 12:31</t>
  </si>
  <si>
    <t>17/04/2026 12:35</t>
  </si>
  <si>
    <t>18/04/2026 10:06</t>
  </si>
  <si>
    <t>21/04/2026 17:11</t>
  </si>
  <si>
    <r>
      <rPr>
        <rFont val="Arial"/>
        <color rgb="FF000000"/>
        <sz val="9.0"/>
        <u/>
      </rPr>
      <t>https://x.com/themanojverma/status/2045032820461228183</t>
    </r>
    <r>
      <rPr>
        <rFont val="Arial"/>
        <color rgb="FF000000"/>
        <sz val="9.0"/>
      </rPr>
      <t xml:space="preserve"> </t>
    </r>
  </si>
  <si>
    <t>17/04/2026 12:23</t>
  </si>
  <si>
    <t>17/04/2026 12:27</t>
  </si>
  <si>
    <t>19/04/2026 18:59</t>
  </si>
  <si>
    <t>20/04/2026 11:50</t>
  </si>
  <si>
    <t>21/04/2026 10:02</t>
  </si>
  <si>
    <t>21/04/2026 11:18</t>
  </si>
  <si>
    <t>28/04/2026 15:15</t>
  </si>
  <si>
    <r>
      <rPr>
        <rFont val="Arial"/>
        <color rgb="FF000000"/>
        <sz val="9.0"/>
        <u/>
      </rPr>
      <t>https://x.com/KHANezaz96khan/status/2045031036070051874</t>
    </r>
    <r>
      <rPr>
        <rFont val="Arial"/>
        <color rgb="FF000000"/>
        <sz val="9.0"/>
      </rPr>
      <t xml:space="preserve"> </t>
    </r>
  </si>
  <si>
    <t>17/04/2026 12:16</t>
  </si>
  <si>
    <r>
      <rPr>
        <rFont val="Arial"/>
        <color rgb="FF000000"/>
        <sz val="9.0"/>
        <u/>
      </rPr>
      <t>https://x.com/arz_elch91/status/2045027631406706760</t>
    </r>
    <r>
      <rPr>
        <rFont val="Arial"/>
        <color rgb="FF000000"/>
        <sz val="9.0"/>
      </rPr>
      <t xml:space="preserve"> </t>
    </r>
  </si>
  <si>
    <t>17/04/2026 12:02</t>
  </si>
  <si>
    <t>17/04/2026 12:05</t>
  </si>
  <si>
    <r>
      <rPr>
        <rFont val="Arial"/>
        <color rgb="FF000000"/>
        <sz val="9.0"/>
        <u/>
      </rPr>
      <t>https://x.com/KHANezaz96khan/status/2045020247816818957</t>
    </r>
    <r>
      <rPr>
        <rFont val="Arial"/>
        <color rgb="FF000000"/>
        <sz val="9.0"/>
      </rPr>
      <t xml:space="preserve"> </t>
    </r>
  </si>
  <si>
    <t>17/04/2026 11:33</t>
  </si>
  <si>
    <r>
      <rPr>
        <rFont val="Arial"/>
        <color rgb="FF000000"/>
        <sz val="9.0"/>
        <u/>
      </rPr>
      <t>https://x.com/I_am_Shikhaa/status/2044812457546588596</t>
    </r>
    <r>
      <rPr>
        <rFont val="Arial"/>
        <color rgb="FF000000"/>
        <sz val="9.0"/>
      </rPr>
      <t xml:space="preserve"> </t>
    </r>
  </si>
  <si>
    <t>16/04/2026 21:47</t>
  </si>
  <si>
    <t>17/04/2026 12:50</t>
  </si>
  <si>
    <t>16/04/2026 22:10</t>
  </si>
  <si>
    <t>18/04/2026 12:15</t>
  </si>
  <si>
    <t>16/04/2026 22:27</t>
  </si>
  <si>
    <t>18/04/2026 12:16</t>
  </si>
  <si>
    <t>16/04/2026 22:32</t>
  </si>
  <si>
    <t>17/04/2026 21:52</t>
  </si>
  <si>
    <t>17/04/2026 22:29</t>
  </si>
  <si>
    <r>
      <rPr>
        <rFont val="Arial"/>
        <color rgb="FF000000"/>
        <sz val="9.0"/>
        <u/>
      </rPr>
      <t>https://x.com/subashvarmardrj/status/2044655494648971433</t>
    </r>
    <r>
      <rPr>
        <rFont val="Arial"/>
        <color rgb="FF000000"/>
        <sz val="9.0"/>
      </rPr>
      <t xml:space="preserve"> </t>
    </r>
  </si>
  <si>
    <t>16/04/2026 11:23</t>
  </si>
  <si>
    <t>16/04/2026 11:52</t>
  </si>
  <si>
    <r>
      <rPr>
        <rFont val="Arial"/>
        <color rgb="FF000000"/>
        <sz val="9.0"/>
        <u/>
      </rPr>
      <t>https://x.com/waseemahad/status/2044653289875337591</t>
    </r>
    <r>
      <rPr>
        <rFont val="Arial"/>
        <color rgb="FF000000"/>
        <sz val="9.0"/>
      </rPr>
      <t xml:space="preserve"> </t>
    </r>
  </si>
  <si>
    <t>16/04/2026 11:15</t>
  </si>
  <si>
    <t>16/04/2026 11:54</t>
  </si>
  <si>
    <t>16/04/2026 20:07</t>
  </si>
  <si>
    <t>20/04/2026 15:19</t>
  </si>
  <si>
    <t>20/04/2026 15:41</t>
  </si>
  <si>
    <t>25/04/2026 12:57</t>
  </si>
  <si>
    <t>25/04/2026 13:08</t>
  </si>
  <si>
    <t>IFFCO TOKIO General Insurance Co. Ltd.</t>
  </si>
  <si>
    <r>
      <rPr>
        <rFont val="Arial"/>
        <color rgb="FF000000"/>
        <sz val="9.0"/>
        <u/>
      </rPr>
      <t>https://x.com/i_am_Gouravvv/status/2048827699502911591</t>
    </r>
    <r>
      <rPr>
        <rFont val="Arial"/>
        <color rgb="FF000000"/>
        <sz val="9.0"/>
      </rPr>
      <t xml:space="preserve"> </t>
    </r>
  </si>
  <si>
    <t>27/04/2026 23:42</t>
  </si>
  <si>
    <t>28/04/2026 12:19</t>
  </si>
  <si>
    <r>
      <rPr>
        <rFont val="Arial"/>
        <color rgb="FF000000"/>
        <sz val="9.0"/>
        <u/>
      </rPr>
      <t>https://x.com/rajsekar1009/status/2044376596224876795</t>
    </r>
    <r>
      <rPr>
        <rFont val="Arial"/>
        <color rgb="FF000000"/>
        <sz val="9.0"/>
      </rPr>
      <t xml:space="preserve"> </t>
    </r>
  </si>
  <si>
    <t>15/04/2026 16:55</t>
  </si>
  <si>
    <t>16/04/2026 09:35</t>
  </si>
  <si>
    <t>16/04/2026 10:05</t>
  </si>
  <si>
    <t>16/04/2026 15:28</t>
  </si>
  <si>
    <t>17/04/2026 11:25</t>
  </si>
  <si>
    <r>
      <rPr>
        <rFont val="Arial"/>
        <color rgb="FF000000"/>
        <sz val="9.0"/>
        <u/>
      </rPr>
      <t>https://x.com/sukhi88/status/2043933994635632946</t>
    </r>
    <r>
      <rPr>
        <rFont val="Arial"/>
        <color rgb="FF000000"/>
        <sz val="9.0"/>
      </rPr>
      <t xml:space="preserve"> </t>
    </r>
  </si>
  <si>
    <t>14/04/2026 11:36</t>
  </si>
  <si>
    <t>14/04/2026 12:10</t>
  </si>
  <si>
    <t>14/04/2026 22:35</t>
  </si>
  <si>
    <t>15/04/2026 09:59</t>
  </si>
  <si>
    <t>15/04/2026 11:14</t>
  </si>
  <si>
    <t>16/04/2026 16:55</t>
  </si>
  <si>
    <r>
      <rPr>
        <rFont val="Arial"/>
        <color rgb="FF000000"/>
        <sz val="9.0"/>
        <u/>
      </rPr>
      <t>https://x.com/prabhat44806954/status/2042832845752930343</t>
    </r>
    <r>
      <rPr>
        <rFont val="Arial"/>
        <color rgb="FF000000"/>
        <sz val="9.0"/>
      </rPr>
      <t xml:space="preserve"> </t>
    </r>
  </si>
  <si>
    <t>11/04/2026 10:41</t>
  </si>
  <si>
    <t>12/04/2026 10:36</t>
  </si>
  <si>
    <r>
      <rPr>
        <rFont val="Arial"/>
        <color rgb="FF000000"/>
        <sz val="9.0"/>
        <u/>
      </rPr>
      <t>https://x.com/Chittesh/status/2040303524769382760</t>
    </r>
    <r>
      <rPr>
        <rFont val="Arial"/>
        <color rgb="FF000000"/>
        <sz val="9.0"/>
      </rPr>
      <t xml:space="preserve"> </t>
    </r>
  </si>
  <si>
    <t>04/04/2026 11:10</t>
  </si>
  <si>
    <t>Manipal Cigna Health Insurance Co. Ltd</t>
  </si>
  <si>
    <t>https://x.com/LakshyaBarjaty1/status/2048351161695220047</t>
  </si>
  <si>
    <t>17/05/2026 16:27</t>
  </si>
  <si>
    <t>https://x.com/dalmahills/status/2049436022287859958</t>
  </si>
  <si>
    <t>29/04/2026 16:04</t>
  </si>
  <si>
    <t>30/04/2026 09:17</t>
  </si>
  <si>
    <t>01/05/2026 10:57</t>
  </si>
  <si>
    <t>30/04/2026 09:22</t>
  </si>
  <si>
    <t>03/05/2026 10:56</t>
  </si>
  <si>
    <t>02/05/2026 17:14</t>
  </si>
  <si>
    <t>04/05/2026 12:22</t>
  </si>
  <si>
    <t>02/05/2026 17:15</t>
  </si>
  <si>
    <t>05/05/2026 12:22</t>
  </si>
  <si>
    <t>03/05/2026 16:12</t>
  </si>
  <si>
    <t>05/05/2026 14:42</t>
  </si>
  <si>
    <t>03/05/2026 16:14</t>
  </si>
  <si>
    <t>06/05/2026 11:29</t>
  </si>
  <si>
    <t>05/05/2026 14:41</t>
  </si>
  <si>
    <t>https://x.com/RAGHAVENDRAVAL4/status/2044330047134413066</t>
  </si>
  <si>
    <t>15/04/2026 13:55</t>
  </si>
  <si>
    <t>https://x.com/ArunAug63883899/status/2049014515887669596</t>
  </si>
  <si>
    <t>28/04/2026 12:09</t>
  </si>
  <si>
    <t>30/04/2026 11:07</t>
  </si>
  <si>
    <t>30/04/2026 11:09</t>
  </si>
  <si>
    <t>30/04/2026 11:14</t>
  </si>
  <si>
    <t>https://x.com/bhishek_talekar/status/2043301892055523710</t>
  </si>
  <si>
    <t>12/04/2026 17:45</t>
  </si>
  <si>
    <t>13/04/2026 10:32</t>
  </si>
  <si>
    <t>12/04/2026 17:47</t>
  </si>
  <si>
    <t>14/04/2026 10:32</t>
  </si>
  <si>
    <t>12/04/2026 17:48</t>
  </si>
  <si>
    <t>16/04/2026 10:32</t>
  </si>
  <si>
    <t>12/04/2026 17:51</t>
  </si>
  <si>
    <t>12/04/2026 18:00</t>
  </si>
  <si>
    <t>12/04/2026 19:08</t>
  </si>
  <si>
    <t>https://x.com/RAGHAVENDRAVAL4/status/2043511217470489017</t>
  </si>
  <si>
    <t>13/04/2026 07:36</t>
  </si>
  <si>
    <t>13/04/2026 09:47</t>
  </si>
  <si>
    <t>https://x.com/jayanth9599/status/2044361749168889931</t>
  </si>
  <si>
    <t>15/04/2026 15:56</t>
  </si>
  <si>
    <t>15/04/2026 16:00</t>
  </si>
  <si>
    <t>15/04/2026 16:01</t>
  </si>
  <si>
    <t>15/04/2026 16:04</t>
  </si>
  <si>
    <t>https://x.com/vivekvorani/status/2045353046511927725</t>
  </si>
  <si>
    <t>18/04/2026 09:35</t>
  </si>
  <si>
    <t>18/04/2026 10:27</t>
  </si>
  <si>
    <t>https://x.com/Pradeep_k03/status/2048245769841623209</t>
  </si>
  <si>
    <t>26/04/2026 09:10</t>
  </si>
  <si>
    <t>27/04/2026 10:41</t>
  </si>
  <si>
    <t>https://x.com/LGanvir10936/status/2048723934988927430</t>
  </si>
  <si>
    <t>27/04/2026 16:50</t>
  </si>
  <si>
    <t>27/04/2026 16:58</t>
  </si>
  <si>
    <t>28/04/2026 11:17</t>
  </si>
  <si>
    <t>30/04/2026 16:12</t>
  </si>
  <si>
    <t>06/05/2026 11:26</t>
  </si>
  <si>
    <t>06/05/2026 14:14</t>
  </si>
  <si>
    <t>https://x.com/chithu81744245/status/2046488782384603369</t>
  </si>
  <si>
    <t>21/04/2026 12:48</t>
  </si>
  <si>
    <t>21/04/2026 13:06</t>
  </si>
  <si>
    <t>https://x.com/wuhan3700/status/2042830913806176683</t>
  </si>
  <si>
    <t>11/04/2026 10:33</t>
  </si>
  <si>
    <t>13/04/2026 12:01</t>
  </si>
  <si>
    <t>11/04/2026 10:38</t>
  </si>
  <si>
    <t>https://x.com/wuhan3700/status/2039551518211453333</t>
  </si>
  <si>
    <t>02/04/2026 09:22</t>
  </si>
  <si>
    <t>02/04/2026 10:48</t>
  </si>
  <si>
    <t>02/04/2026 10:56</t>
  </si>
  <si>
    <t>02/04/2026 11:06</t>
  </si>
  <si>
    <t>https://x.com/RaniRitu85057/status/2046566958200680634</t>
  </si>
  <si>
    <t>21/04/2026 17:59</t>
  </si>
  <si>
    <t>21/04/2026 18:04</t>
  </si>
  <si>
    <t>21/04/2026 19:26</t>
  </si>
  <si>
    <t>27/04/2026 17:56</t>
  </si>
  <si>
    <t>30/04/2026 17:39</t>
  </si>
  <si>
    <t>04/05/2026 12:35</t>
  </si>
  <si>
    <t>https://x.com/avbrkanth81273/status/2049140459965211022</t>
  </si>
  <si>
    <t>28/04/2026 20:25</t>
  </si>
  <si>
    <t>29/04/2026 10:40</t>
  </si>
  <si>
    <t>https://x.com/arindamsen_83/status/2046537920010760284</t>
  </si>
  <si>
    <t>21/04/2026 16:03</t>
  </si>
  <si>
    <t>21/04/2026 16:15</t>
  </si>
  <si>
    <t>21/04/2026 16:23</t>
  </si>
  <si>
    <t>https://x.com/ArunAug63883899/status/2046540662477291550</t>
  </si>
  <si>
    <t>21/04/2026 16:14</t>
  </si>
  <si>
    <t>24/04/2026 16:23</t>
  </si>
  <si>
    <t>https://x.com/drganeshdas/status/2043957339338973693</t>
  </si>
  <si>
    <t>14/04/2026 13:09</t>
  </si>
  <si>
    <t>14/04/2026 13:12</t>
  </si>
  <si>
    <t>15/04/2026 13:12</t>
  </si>
  <si>
    <t>17/04/2026 13:12</t>
  </si>
  <si>
    <t>https://x.com/ekta_21/status/2039667856376557598</t>
  </si>
  <si>
    <t>02/04/2026 17:04</t>
  </si>
  <si>
    <t>https://x.com/RAGHAVENDRAVAL4/status/2041753596681912816</t>
  </si>
  <si>
    <t>08/04/2026 11:12</t>
  </si>
  <si>
    <t>08/04/2026 11:23</t>
  </si>
  <si>
    <t>https://x.com/ekta_21/status/2040421330793992448</t>
  </si>
  <si>
    <t>04/04/2026 18:58</t>
  </si>
  <si>
    <t>https://x.com/ekta_21/status/2041444571973063063</t>
  </si>
  <si>
    <t>07/04/2026 14:44</t>
  </si>
  <si>
    <t>07/04/2026 14:54</t>
  </si>
  <si>
    <t>https://x.com/avbrkanth81273/status/2048985168573296836</t>
  </si>
  <si>
    <t>28/04/2026 10:08</t>
  </si>
  <si>
    <t>28/04/2026 10:28</t>
  </si>
  <si>
    <t>28/04/2026 12:12</t>
  </si>
  <si>
    <t>https://x.com/vishalbth/status/2046815355654561829</t>
  </si>
  <si>
    <t>22/04/2026 10:26</t>
  </si>
  <si>
    <t>22/04/2026 11:03</t>
  </si>
  <si>
    <t>https://x.com/DrDKumar_NRI/status/2042102544466637218</t>
  </si>
  <si>
    <t>09/04/2026 10:19</t>
  </si>
  <si>
    <t>09/04/2026 11:00</t>
  </si>
  <si>
    <t>https://x.com/RAGHAVENDRAVAL4/status/2047640490414317651</t>
  </si>
  <si>
    <t>24/04/2026 17:05</t>
  </si>
  <si>
    <t>https://x.com/RAGHAVENDRAVAL4/status/2040676099680809031</t>
  </si>
  <si>
    <t>05/04/2026 11:51</t>
  </si>
  <si>
    <t>https://x.com/ichins97/status/2039589344135287223</t>
  </si>
  <si>
    <t>02/04/2026 11:52</t>
  </si>
  <si>
    <t>02/04/2026 11:55</t>
  </si>
  <si>
    <t>https://x.com/ArunAug63883899/status/2049013078403186763</t>
  </si>
  <si>
    <t>28/04/2026 11:59</t>
  </si>
  <si>
    <t>https://x.com/RAGHAVENDRAVAL4/status/2048037571486441675</t>
  </si>
  <si>
    <t>25/04/2026 19:23</t>
  </si>
  <si>
    <t>https://x.com/DharminD/status/2045085781229031870</t>
  </si>
  <si>
    <t>17/04/2026 15:53</t>
  </si>
  <si>
    <t>17/04/2026 16:02</t>
  </si>
  <si>
    <t>17/04/2026 16:15</t>
  </si>
  <si>
    <t>17/04/2026 16:18</t>
  </si>
  <si>
    <t>20/04/2026 22:37</t>
  </si>
  <si>
    <t>https://x.com/DharminD/status/2046508882869244415</t>
  </si>
  <si>
    <t>21/04/2026 14:08</t>
  </si>
  <si>
    <t>21/04/2026 19:15</t>
  </si>
  <si>
    <t>https://x.com/SATISHTHAKUR40/status/2047660742246342656</t>
  </si>
  <si>
    <t>24/04/2026 18:25</t>
  </si>
  <si>
    <t>https://x.com/RAGHAVENDRAVAL4/status/2046774098383229379</t>
  </si>
  <si>
    <t>22/04/2026 07:42</t>
  </si>
  <si>
    <t>https://x.com/RAGHAVENDRAVAL4/status/2043513027757277438</t>
  </si>
  <si>
    <t>13/04/2026 07:44</t>
  </si>
  <si>
    <t>https://x.com/RAGHAVENDRAVAL4/status/2045371159634661519</t>
  </si>
  <si>
    <t>18/04/2026 10:47</t>
  </si>
  <si>
    <t>https://x.com/RAGHAVENDRAVAL4/status/2045709070309704183</t>
  </si>
  <si>
    <t>19/04/2026 09:10</t>
  </si>
  <si>
    <t>https://x.com/RAGHAVENDRAVAL4/status/2045470430124036581</t>
  </si>
  <si>
    <t>18/04/2026 17:22</t>
  </si>
  <si>
    <t>https://x.com/wuhan3700/status/2040280702969864404</t>
  </si>
  <si>
    <t>04/04/2026 09:40</t>
  </si>
  <si>
    <t>https://x.com/Mini22689487/status/2046804527001883101</t>
  </si>
  <si>
    <t>22/04/2026 09:43</t>
  </si>
  <si>
    <t>22/04/2026 11:21</t>
  </si>
  <si>
    <t>https://x.com/Mini22689487/status/2046534520737054896</t>
  </si>
  <si>
    <t>21/04/2026 15:50</t>
  </si>
  <si>
    <t>21/04/2026 16:28</t>
  </si>
  <si>
    <t>https://x.com/wuhan3700/status/2041065457541853693</t>
  </si>
  <si>
    <t>06/04/2026 13:38</t>
  </si>
  <si>
    <t>06/04/2026 13:41</t>
  </si>
  <si>
    <t>https://x.com/hkc1212/status/2046470644385390853</t>
  </si>
  <si>
    <t>21/04/2026 11:36</t>
  </si>
  <si>
    <t>https://x.com/_arun__66_/status/2041838868534849786</t>
  </si>
  <si>
    <t>08/04/2026 16:51</t>
  </si>
  <si>
    <t>08/04/2026 17:00</t>
  </si>
  <si>
    <t>15/04/2026 01:26</t>
  </si>
  <si>
    <t>https://x.com/Touristshubham/status/2040617032438440136</t>
  </si>
  <si>
    <t>05/04/2026 07:56</t>
  </si>
  <si>
    <t>06/04/2026 10:01</t>
  </si>
  <si>
    <t>07/04/2026 18:14</t>
  </si>
  <si>
    <t>https://x.com/99220077Rahul/status/2041038104619053430</t>
  </si>
  <si>
    <t>06/04/2026 11:49</t>
  </si>
  <si>
    <t>06/04/2026 11:51</t>
  </si>
  <si>
    <t>06/04/2026 12:01</t>
  </si>
  <si>
    <t>06/04/2026 12:31</t>
  </si>
  <si>
    <t>https://x.com/VinodDhamija/status/2049448478250873268</t>
  </si>
  <si>
    <t>29/04/2026 16:49</t>
  </si>
  <si>
    <t>29/04/2026 17:07</t>
  </si>
  <si>
    <t>https://x.com/i_AmanSinha/status/2046199220282257714</t>
  </si>
  <si>
    <t>20/04/2026 17:38</t>
  </si>
  <si>
    <t>20/04/2026 17:40</t>
  </si>
  <si>
    <t>20/04/2026 17:42</t>
  </si>
  <si>
    <t>20/04/2026 17:51</t>
  </si>
  <si>
    <t>20/04/2026 17:44</t>
  </si>
  <si>
    <t>21/04/2026 17:51</t>
  </si>
  <si>
    <t>20/04/2026 17:47</t>
  </si>
  <si>
    <t>23/04/2026 17:51</t>
  </si>
  <si>
    <t>https://x.com/rahilshah21/status/2041790427263906265</t>
  </si>
  <si>
    <t>08/04/2026 13:39</t>
  </si>
  <si>
    <t>08/04/2026 13:45</t>
  </si>
  <si>
    <t>10/04/2026 06:59</t>
  </si>
  <si>
    <t>11/04/2026 13:52</t>
  </si>
  <si>
    <t>https://x.com/Urs_Avinash/status/2041388384753750113</t>
  </si>
  <si>
    <t>07/04/2026 11:01</t>
  </si>
  <si>
    <t>https://x.com/Zenor_244/status/2043694251503190303</t>
  </si>
  <si>
    <t>13/04/2026 19:44</t>
  </si>
  <si>
    <t>14/04/2026 11:57</t>
  </si>
  <si>
    <t>https://x.com/DharminD/status/2049086406379913670</t>
  </si>
  <si>
    <t>28/04/2026 16:55</t>
  </si>
  <si>
    <t>28/04/2026 21:04</t>
  </si>
  <si>
    <t>29/04/2026 10:37</t>
  </si>
  <si>
    <t>29/04/2026 13:21</t>
  </si>
  <si>
    <t>05/05/2026 13:53</t>
  </si>
  <si>
    <t>https://x.com/gouravjainvhc/status/2039293596780912708</t>
  </si>
  <si>
    <t>01/04/2026 16:17</t>
  </si>
  <si>
    <t>01/04/2026 16:18</t>
  </si>
  <si>
    <t>01/04/2026 18:43</t>
  </si>
  <si>
    <t>02/04/2026 18:03</t>
  </si>
  <si>
    <t>02/04/2026 19:45</t>
  </si>
  <si>
    <t>07/04/2026 09:19</t>
  </si>
  <si>
    <t>07/04/2026 11:38</t>
  </si>
  <si>
    <t>https://x.com/AshishRajpura/status/2042937482619293718</t>
  </si>
  <si>
    <t>11/04/2026 17:37</t>
  </si>
  <si>
    <t>11/04/2026 17:49</t>
  </si>
  <si>
    <t>https://x.com/anandparekh10/status/2040766772501168598</t>
  </si>
  <si>
    <t>05/04/2026 17:51</t>
  </si>
  <si>
    <t>06/04/2026 10:06</t>
  </si>
  <si>
    <t>07/04/2026 21:41</t>
  </si>
  <si>
    <t>https://x.com/Urs_Avinash/status/2045580158426636387</t>
  </si>
  <si>
    <t>19/04/2026 00:38</t>
  </si>
  <si>
    <t>https://x.com/VishalSeth46422/status/2044335846795698185</t>
  </si>
  <si>
    <t>15/04/2026 14:13</t>
  </si>
  <si>
    <t>15/04/2026 14:18</t>
  </si>
  <si>
    <t>https://x.com/vikendrasachan/status/2041831917230944763</t>
  </si>
  <si>
    <t>08/04/2026 16:23</t>
  </si>
  <si>
    <t>08/04/2026 16:43</t>
  </si>
  <si>
    <t>08/04/2026 16:27</t>
  </si>
  <si>
    <t>15/04/2026 01:51</t>
  </si>
  <si>
    <t>09/04/2026 18:55</t>
  </si>
  <si>
    <t>09/04/2026 18:56</t>
  </si>
  <si>
    <t>https://x.com/AlkaChhabda/status/2039658563338150314</t>
  </si>
  <si>
    <t>02/04/2026 16:27</t>
  </si>
  <si>
    <t>02/04/2026 16:34</t>
  </si>
  <si>
    <t>02/04/2026 16:56</t>
  </si>
  <si>
    <t>02/04/2026 16:45</t>
  </si>
  <si>
    <t>02/04/2026 16:46</t>
  </si>
  <si>
    <t>https://x.com/kamalnayan0728/status/2039681687265898559</t>
  </si>
  <si>
    <t>02/04/2026 17:59</t>
  </si>
  <si>
    <t>02/04/2026 18:09</t>
  </si>
  <si>
    <t>15/04/2026 12:05</t>
  </si>
  <si>
    <t>https://x.com/ChatterjeeSap/status/2046825246746095809</t>
  </si>
  <si>
    <t>22/04/2026 11:05</t>
  </si>
  <si>
    <t>22/04/2026 11:08</t>
  </si>
  <si>
    <t>https://x.com/msjlobo/status/2046911717540770265</t>
  </si>
  <si>
    <t>22/04/2026 16:49</t>
  </si>
  <si>
    <t>https://x.com/pawansinghgoyal/status/2040725316910678448</t>
  </si>
  <si>
    <t>05/04/2026 15:06</t>
  </si>
  <si>
    <t>06/04/2026 10:04</t>
  </si>
  <si>
    <t>06/04/2026 17:35</t>
  </si>
  <si>
    <t>06/04/2026 17:40</t>
  </si>
  <si>
    <t>06/04/2026 17:51</t>
  </si>
  <si>
    <t>13/04/2026 10:42</t>
  </si>
  <si>
    <t>07/04/2026 06:47</t>
  </si>
  <si>
    <t>13/04/2026 16:01</t>
  </si>
  <si>
    <t>08/04/2026 17:58</t>
  </si>
  <si>
    <t>09/04/2026 00:05</t>
  </si>
  <si>
    <t>11/04/2026 21:59</t>
  </si>
  <si>
    <t>15/04/2026 11:29</t>
  </si>
  <si>
    <t>https://x.com/h_sundeep/status/2039878725953863977</t>
  </si>
  <si>
    <t>03/04/2026 07:02</t>
  </si>
  <si>
    <t>04/04/2026 10:17</t>
  </si>
  <si>
    <t>07/04/2026 12:38</t>
  </si>
  <si>
    <t>13/04/2026 11:51</t>
  </si>
  <si>
    <t>https://x.com/abhayanand28/status/2043713841515929654</t>
  </si>
  <si>
    <t>13/04/2026 21:02</t>
  </si>
  <si>
    <t>14/04/2026 10:29</t>
  </si>
  <si>
    <t>https://x.com/A_forAbhi/status/2045418530406097343</t>
  </si>
  <si>
    <t>18/04/2026 13:55</t>
  </si>
  <si>
    <t>18/04/2026 13:58</t>
  </si>
  <si>
    <t>18/04/2026 14:07</t>
  </si>
  <si>
    <t>19/04/2026 13:58</t>
  </si>
  <si>
    <t>21/04/2026 13:58</t>
  </si>
  <si>
    <t>https://x.com/Pradeepbpandey/status/2043718764974534844</t>
  </si>
  <si>
    <t>13/04/2026 21:21</t>
  </si>
  <si>
    <t>14/04/2026 10:30</t>
  </si>
  <si>
    <t>https://x.com/NidhiBhard/status/2041195950782460396</t>
  </si>
  <si>
    <t>06/04/2026 22:16</t>
  </si>
  <si>
    <t>13/04/2026 16:12</t>
  </si>
  <si>
    <t>https://x.com/NidhiBhard/status/2041195292704608728</t>
  </si>
  <si>
    <t>06/04/2026 22:14</t>
  </si>
  <si>
    <t>07/04/2026 10:08</t>
  </si>
  <si>
    <t>Navi General Insurance Co. Ltd.</t>
  </si>
  <si>
    <t>https://x.com/JaiHind_Sena007/status/2041012358043304410</t>
  </si>
  <si>
    <t>06/04/2026 10:07</t>
  </si>
  <si>
    <t>06/04/2026 10:51</t>
  </si>
  <si>
    <t>08/04/2026 18:47</t>
  </si>
  <si>
    <t>15/04/2026 17:46</t>
  </si>
  <si>
    <t>https://x.com/Indian_Mumbaikr/status/2039709575012815039</t>
  </si>
  <si>
    <t>02/04/2026 19:50</t>
  </si>
  <si>
    <t>02/04/2026 19:58</t>
  </si>
  <si>
    <t>03/04/202610:47:00</t>
  </si>
  <si>
    <t>03/04/2026 09:53</t>
  </si>
  <si>
    <t>https://x.com/NavinKu04306562/status/2036750440667492819</t>
  </si>
  <si>
    <t>25/03/2026 15:52</t>
  </si>
  <si>
    <t>25/03/2026 15:58</t>
  </si>
  <si>
    <t>25/03/202617:06</t>
  </si>
  <si>
    <t>25/03/2026 16:00</t>
  </si>
  <si>
    <t>27/03/2026 17:11</t>
  </si>
  <si>
    <t>25/03/2026 16:01</t>
  </si>
  <si>
    <t>28/03/2026 18:05</t>
  </si>
  <si>
    <t>25/03/2026 16:03</t>
  </si>
  <si>
    <t>01/04/2026 15:08</t>
  </si>
  <si>
    <t>25/03/2026 16:15</t>
  </si>
  <si>
    <t>28/03/2026 15:18</t>
  </si>
  <si>
    <t>31/03/2026 08:16</t>
  </si>
  <si>
    <t>https://x.com/LegalActions_/status/2032012667830092238</t>
  </si>
  <si>
    <t>12/03/2026 14:05</t>
  </si>
  <si>
    <t>12/03/2026 15:16</t>
  </si>
  <si>
    <t>https://x.com/jankalyansmithi/status/2032010254263943359</t>
  </si>
  <si>
    <t>12/03/2026 13:56</t>
  </si>
  <si>
    <t>https://x.com/Pmishra_MBA/status/2030298462198055416</t>
  </si>
  <si>
    <t>07/03/2026 20:34</t>
  </si>
  <si>
    <t>07/03/2026 21:13</t>
  </si>
  <si>
    <t>https://x.com/DjLoki642802/status/2030213769964749216</t>
  </si>
  <si>
    <t>07/03/2026 14:57</t>
  </si>
  <si>
    <t>07/03/2026 15:03</t>
  </si>
  <si>
    <t>07/03/2026 15:26</t>
  </si>
  <si>
    <t>07/03/2026 18:46</t>
  </si>
  <si>
    <t>https://x.com/gopinath231994/status/2029630655504732626</t>
  </si>
  <si>
    <t>06/03/2026 00:20</t>
  </si>
  <si>
    <t>06/03/2026 08:27</t>
  </si>
  <si>
    <t>06/03/2026 15:59</t>
  </si>
  <si>
    <t>https://x.com/KumarSu98333982/status/2029462224348274846</t>
  </si>
  <si>
    <t>05/03/2026 13:11</t>
  </si>
  <si>
    <t>05/03/2026 13:57</t>
  </si>
  <si>
    <t>10/03/2026 13:02</t>
  </si>
  <si>
    <t>12/03/2026 13:27</t>
  </si>
  <si>
    <t>https://x.com/Vinit0292322398/status/2023987857417769057</t>
  </si>
  <si>
    <t>18/02/2026 10:38</t>
  </si>
  <si>
    <t>18/02/2026 11:49</t>
  </si>
  <si>
    <t>https://x.com/Arpon1998/status/2023820477031174380</t>
  </si>
  <si>
    <t>17/02/2026 23:32</t>
  </si>
  <si>
    <t>17/02/2026 23:57</t>
  </si>
  <si>
    <t>https://x.com/JaiHind_Sena007/status/2023807547183087781</t>
  </si>
  <si>
    <t>17/02/2026 22:41</t>
  </si>
  <si>
    <t>17/02/2026 23:50</t>
  </si>
  <si>
    <t>https://x.com/ndhorada/status/2022382060367941923</t>
  </si>
  <si>
    <t>14/02/2026 00:17</t>
  </si>
  <si>
    <t>14/02/2026 07:11</t>
  </si>
  <si>
    <t>https://x.com/SauravD16550316/status/2021906074090320355</t>
  </si>
  <si>
    <t>12/02/2026 16:45</t>
  </si>
  <si>
    <t>12/02/2026 17:12</t>
  </si>
  <si>
    <t>https://x.com/Real_Faraz_/status/2020866670647005503</t>
  </si>
  <si>
    <t>09/02/2026 19:55</t>
  </si>
  <si>
    <t>09/02/2026 19:59</t>
  </si>
  <si>
    <t>The New India Assurance Co. Ltd.</t>
  </si>
  <si>
    <r>
      <rPr>
        <rFont val="Arial"/>
        <color rgb="FF000000"/>
        <sz val="9.0"/>
        <u/>
      </rPr>
      <t>https://x.com/TarunGupta01239/status/2049419586962137188</t>
    </r>
    <r>
      <rPr>
        <rFont val="Arial"/>
        <color rgb="FF000000"/>
        <sz val="9.0"/>
      </rPr>
      <t xml:space="preserve"> </t>
    </r>
  </si>
  <si>
    <t>29/04/2026 14:54</t>
  </si>
  <si>
    <t>29/04/2026 15:22</t>
  </si>
  <si>
    <t>29/04/2026 16:03</t>
  </si>
  <si>
    <t>29/04/2026 18:38</t>
  </si>
  <si>
    <r>
      <rPr>
        <rFont val="Arial"/>
        <color rgb="FF000000"/>
        <sz val="9.0"/>
        <u/>
      </rPr>
      <t>https://x.com/anandjuly15/status/2049061097525948551</t>
    </r>
    <r>
      <rPr>
        <rFont val="Arial"/>
        <color rgb="FF000000"/>
        <sz val="9.0"/>
      </rPr>
      <t xml:space="preserve"> </t>
    </r>
  </si>
  <si>
    <t>28/04/2026 15:10</t>
  </si>
  <si>
    <t>28/04/2026 15:33</t>
  </si>
  <si>
    <t>28/04/2026 15:44</t>
  </si>
  <si>
    <t>28/04/2026 16:42</t>
  </si>
  <si>
    <t>28/04/2026 18:04</t>
  </si>
  <si>
    <t>28/04/2026 18:02</t>
  </si>
  <si>
    <t>29/04/2026 09:29</t>
  </si>
  <si>
    <r>
      <rPr>
        <rFont val="Arial"/>
        <color rgb="FF000000"/>
        <sz val="9.0"/>
        <u/>
      </rPr>
      <t>https://x.com/RAMASHA77189861/status/2048367236453417010</t>
    </r>
    <r>
      <rPr>
        <rFont val="Arial"/>
        <color rgb="FF000000"/>
        <sz val="9.0"/>
      </rPr>
      <t xml:space="preserve"> </t>
    </r>
  </si>
  <si>
    <t>26/04/2026 17:28</t>
  </si>
  <si>
    <t>26/04/2026 17:19</t>
  </si>
  <si>
    <r>
      <rPr>
        <rFont val="Arial"/>
        <color rgb="FF000000"/>
        <sz val="9.0"/>
        <u/>
      </rPr>
      <t>https://x.com/Solitude_Goal/status/2047641163512049868</t>
    </r>
    <r>
      <rPr>
        <rFont val="Arial"/>
        <color rgb="FF000000"/>
        <sz val="9.0"/>
      </rPr>
      <t xml:space="preserve"> </t>
    </r>
  </si>
  <si>
    <t>24/04/2026 17:07</t>
  </si>
  <si>
    <t>24/04/2026 18:04</t>
  </si>
  <si>
    <r>
      <rPr>
        <rFont val="Arial"/>
        <color rgb="FF000000"/>
        <sz val="9.0"/>
        <u/>
      </rPr>
      <t>https://x.com/AdityaPanicke15/status/2045867252369547611</t>
    </r>
    <r>
      <rPr>
        <rFont val="Arial"/>
        <color rgb="FF000000"/>
        <sz val="9.0"/>
      </rPr>
      <t xml:space="preserve"> </t>
    </r>
  </si>
  <si>
    <t>19/04/2026 19:38</t>
  </si>
  <si>
    <t>19/04/2026 19:56</t>
  </si>
  <si>
    <r>
      <rPr>
        <rFont val="Arial"/>
        <color rgb="FF000000"/>
        <sz val="9.0"/>
        <u/>
      </rPr>
      <t>https://x.com/VarshneyAnshul0/status/2045362479816229113</t>
    </r>
    <r>
      <rPr>
        <rFont val="Arial"/>
        <color rgb="FF000000"/>
        <sz val="9.0"/>
      </rPr>
      <t xml:space="preserve"> </t>
    </r>
  </si>
  <si>
    <t>18/04/2026 10:13</t>
  </si>
  <si>
    <t>18/04/2026 10:29</t>
  </si>
  <si>
    <t>18/04/2026 14:41</t>
  </si>
  <si>
    <t>18/04/2026 10:31</t>
  </si>
  <si>
    <t>19/04/2026 10:41</t>
  </si>
  <si>
    <t>18/04/2026 10:33</t>
  </si>
  <si>
    <t>20/04/2026 10:28</t>
  </si>
  <si>
    <t>18/04/2026 12:39</t>
  </si>
  <si>
    <t>21/04/2026 11:22</t>
  </si>
  <si>
    <t>19/04/2026 08:44</t>
  </si>
  <si>
    <t>22/04/2026 11:33</t>
  </si>
  <si>
    <t>20/04/2026 08:23</t>
  </si>
  <si>
    <t>20/04/2026 08:24</t>
  </si>
  <si>
    <t>20/04/2026 21:47</t>
  </si>
  <si>
    <r>
      <rPr>
        <rFont val="Arial"/>
        <color rgb="FF000000"/>
        <sz val="9.0"/>
        <u/>
      </rPr>
      <t>https://x.com/sandy_rocks786/status/2044716499492049232</t>
    </r>
    <r>
      <rPr>
        <rFont val="Arial"/>
        <color rgb="FF000000"/>
        <sz val="9.0"/>
      </rPr>
      <t xml:space="preserve"> </t>
    </r>
  </si>
  <si>
    <t>16/04/2026 15:26</t>
  </si>
  <si>
    <r>
      <rPr>
        <rFont val="Arial"/>
        <color rgb="FF000000"/>
        <sz val="9.0"/>
        <u/>
      </rPr>
      <t>https://x.com/TarunGupta01239/status/2043778798714548637</t>
    </r>
    <r>
      <rPr>
        <rFont val="Arial"/>
        <color rgb="FF000000"/>
        <sz val="9.0"/>
      </rPr>
      <t xml:space="preserve"> </t>
    </r>
  </si>
  <si>
    <t>14/04/2026 01:20</t>
  </si>
  <si>
    <t>14/04/2026 09:19</t>
  </si>
  <si>
    <r>
      <rPr>
        <rFont val="Arial"/>
        <color rgb="FF000000"/>
        <sz val="9.0"/>
        <u/>
      </rPr>
      <t>https://x.com/e_echakkara/status/2043589131385938178</t>
    </r>
    <r>
      <rPr>
        <rFont val="Arial"/>
        <color rgb="FF000000"/>
        <sz val="9.0"/>
      </rPr>
      <t xml:space="preserve"> </t>
    </r>
  </si>
  <si>
    <t>13/04/2026 12:46</t>
  </si>
  <si>
    <t>13/04/2026 13:07</t>
  </si>
  <si>
    <t>13/04/2026 15:28</t>
  </si>
  <si>
    <t>14/04/2026 11:46</t>
  </si>
  <si>
    <t>13/04/2026 21:33</t>
  </si>
  <si>
    <t>16/04/2026 14:42</t>
  </si>
  <si>
    <t>13/04/2026 21:34</t>
  </si>
  <si>
    <t>16/04/2026 17:11</t>
  </si>
  <si>
    <t>16/04/2026 12:56</t>
  </si>
  <si>
    <t>16/04/2026 12:59</t>
  </si>
  <si>
    <t>16/04/2026 13:49</t>
  </si>
  <si>
    <t>16/04/2026 14:45</t>
  </si>
  <si>
    <t>19/04/2026 16:56</t>
  </si>
  <si>
    <r>
      <rPr>
        <rFont val="Arial"/>
        <color rgb="FF000000"/>
        <sz val="9.0"/>
        <u/>
      </rPr>
      <t>https://x.com/punitme0100/status/2041446371803414784</t>
    </r>
    <r>
      <rPr>
        <rFont val="Arial"/>
        <color rgb="FF000000"/>
        <sz val="9.0"/>
      </rPr>
      <t xml:space="preserve"> </t>
    </r>
  </si>
  <si>
    <t>07/04/2026 14:51</t>
  </si>
  <si>
    <t>07/04/2026 15:09</t>
  </si>
  <si>
    <t>07/04/2026 15:13</t>
  </si>
  <si>
    <t>07/04/2026 15:23</t>
  </si>
  <si>
    <t>07/04/2026 15:32</t>
  </si>
  <si>
    <t>07/04/2026 16:50</t>
  </si>
  <si>
    <t>07/04/2026 16:52</t>
  </si>
  <si>
    <t>Niva Bupa Health Insurance Co. Ltd</t>
  </si>
  <si>
    <t>https://x.com/RKSwain17/status/2049414744088727821</t>
  </si>
  <si>
    <t>29/04/2026 14:35</t>
  </si>
  <si>
    <t>29/04/2026 15:54</t>
  </si>
  <si>
    <t>01/05/2026 01:47</t>
  </si>
  <si>
    <t>https://x.com/teamdrprashant/status/2049381050854560015</t>
  </si>
  <si>
    <t>29/04/2026 12:21</t>
  </si>
  <si>
    <t>29/04/2026 13:00</t>
  </si>
  <si>
    <t>https://x.com/kamathsree/status/2049135466558214622</t>
  </si>
  <si>
    <t>28/04/2026 20:05</t>
  </si>
  <si>
    <t>https://x.com/im_nitin/status/2049098135449088316</t>
  </si>
  <si>
    <t>28/04/2026 17:37</t>
  </si>
  <si>
    <t>28/04/2026 19:16</t>
  </si>
  <si>
    <t>30/04/2026 18:36</t>
  </si>
  <si>
    <t>30/04/2026 18:38</t>
  </si>
  <si>
    <t>https://x.com/TJ30009/status/2049081303254048847</t>
  </si>
  <si>
    <t>28/04/2026 16:30</t>
  </si>
  <si>
    <t>28/04/2026 17:02</t>
  </si>
  <si>
    <t>30/04/2026 12:40</t>
  </si>
  <si>
    <t>https://x.com/parinayjain/status/2049078333347115175</t>
  </si>
  <si>
    <t>28/04/2026 17:01</t>
  </si>
  <si>
    <t>29/04/2026 13:29</t>
  </si>
  <si>
    <t>https://x.com/irameshm/status/2049013560328761783</t>
  </si>
  <si>
    <t>28/04/2026 12:01</t>
  </si>
  <si>
    <t>28/04/2026 12:51</t>
  </si>
  <si>
    <t>https://x.com/ppdl0109/status/2048989666813321377</t>
  </si>
  <si>
    <t>28/04/2026 10:26</t>
  </si>
  <si>
    <t>https://x.com/anamikabajpai11/status/2048954637001383977</t>
  </si>
  <si>
    <t>28/04/2026 08:07</t>
  </si>
  <si>
    <t>28/04/2026 19:09</t>
  </si>
  <si>
    <t>28/04/2026 08:11</t>
  </si>
  <si>
    <t>01/05/2026 16:56</t>
  </si>
  <si>
    <t>28/04/2026 17:30</t>
  </si>
  <si>
    <t>29/04/2026 15:51</t>
  </si>
  <si>
    <t>https://x.com/EmperorMo13/status/2048782913165267002</t>
  </si>
  <si>
    <t>27/04/2026 20:44</t>
  </si>
  <si>
    <t>https://x.com/Jhansis09/status/2048758824757342556</t>
  </si>
  <si>
    <t>27/04/2026 19:09</t>
  </si>
  <si>
    <t>https://x.com/Jhansis09/status/2048757335712211094</t>
  </si>
  <si>
    <t>27/04/2026 19:03</t>
  </si>
  <si>
    <t>https://x.com/Jhansis09/status/2048756715945128397</t>
  </si>
  <si>
    <t>27/04/2026 19:00</t>
  </si>
  <si>
    <t>https://x.com/MONKINDIA/status/2048707062805500101</t>
  </si>
  <si>
    <t>27/04/2026 15:43</t>
  </si>
  <si>
    <t>27/04/2026 16:29</t>
  </si>
  <si>
    <t>https://x.com/rajeevnair777/status/2048614477667692892</t>
  </si>
  <si>
    <t>27/04/2026 09:35</t>
  </si>
  <si>
    <t>27/04/2026 17:03</t>
  </si>
  <si>
    <t>04/05/2026 14:31</t>
  </si>
  <si>
    <t>https://x.com/Ranjan5Raju/status/2048318205530460250</t>
  </si>
  <si>
    <t>26/04/2026 13:58</t>
  </si>
  <si>
    <t>28/04/2026 16:37</t>
  </si>
  <si>
    <t>01/05/2026 08:50</t>
  </si>
  <si>
    <t>https://x.com/Prince31047209/status/2048307884845637675</t>
  </si>
  <si>
    <t>26/04/2026 13:17</t>
  </si>
  <si>
    <t>27/04/2026 18:24</t>
  </si>
  <si>
    <t>27/04/2026 19:23</t>
  </si>
  <si>
    <t>28/04/2026 16:35</t>
  </si>
  <si>
    <t>https://x.com/bansal_dhanraj/status/2048206435469975695</t>
  </si>
  <si>
    <t>26/04/2026 06:34</t>
  </si>
  <si>
    <t>26/04/2026 16:56</t>
  </si>
  <si>
    <t>26/04/2026 19:01</t>
  </si>
  <si>
    <t>27/04/2026 15:22</t>
  </si>
  <si>
    <t>28/04/2026 06:50</t>
  </si>
  <si>
    <t>28/04/2026 17:10</t>
  </si>
  <si>
    <t>30/04/2026 12:50</t>
  </si>
  <si>
    <t>https://x.com/Shubhamga/status/2048082898184810900</t>
  </si>
  <si>
    <t>25/04/2026 22:23</t>
  </si>
  <si>
    <t>26/04/2026 17:04</t>
  </si>
  <si>
    <t>27/04/2026 15:03</t>
  </si>
  <si>
    <t>29/04/2026 06:35</t>
  </si>
  <si>
    <t>30/04/2026 19:06</t>
  </si>
  <si>
    <t>https://x.com/kushshah45/status/2047996105762431244</t>
  </si>
  <si>
    <t>25/04/2026 16:38</t>
  </si>
  <si>
    <t>25/04/2026 16:58</t>
  </si>
  <si>
    <t>25/04/2026 17:32</t>
  </si>
  <si>
    <t>29/04/2026 06:15</t>
  </si>
  <si>
    <t>29/04/2026 07:03</t>
  </si>
  <si>
    <t>06/05/2026 18:00</t>
  </si>
  <si>
    <t>https://x.com/tweettohimanshu/status/2047958463943528492</t>
  </si>
  <si>
    <t>25/04/2026 14:08</t>
  </si>
  <si>
    <t>25/04/2026 14:18</t>
  </si>
  <si>
    <t>https://x.com/virenb65/status/2047925766013509750</t>
  </si>
  <si>
    <t>25/04/2026 11:58</t>
  </si>
  <si>
    <t>27/04/2026 18:44</t>
  </si>
  <si>
    <t>27/04/2026 18:58</t>
  </si>
  <si>
    <t>27/04/2026 19:04</t>
  </si>
  <si>
    <t>27/04/2026 18:59</t>
  </si>
  <si>
    <t>28/04/2026 16:32</t>
  </si>
  <si>
    <t>28/04/2026 18:15</t>
  </si>
  <si>
    <t>28/04/2026 19:00</t>
  </si>
  <si>
    <t>https://x.com/RaviKamani3/status/2047709027497542115</t>
  </si>
  <si>
    <t>25/04/2026 10:31</t>
  </si>
  <si>
    <t>29/04/2026 12:50</t>
  </si>
  <si>
    <t>https://x.com/Sandeepm2502/status/2047631280372953104</t>
  </si>
  <si>
    <t>24/04/2026 16:28</t>
  </si>
  <si>
    <t>24/04/2026 16:36</t>
  </si>
  <si>
    <t>24/04/2026 16:29</t>
  </si>
  <si>
    <t>26/04/2026 18:41</t>
  </si>
  <si>
    <t>24/04/2026 16:30</t>
  </si>
  <si>
    <t>13/05/2026 15:01</t>
  </si>
  <si>
    <t>24/04/2026 16:31</t>
  </si>
  <si>
    <t>15/05/2026 14:32</t>
  </si>
  <si>
    <t>24/04/2026 16:34</t>
  </si>
  <si>
    <t>13/05/2026 14:24</t>
  </si>
  <si>
    <t>https://x.com/psy7020/status/2047623124859109597</t>
  </si>
  <si>
    <t>24/04/2026 15:56</t>
  </si>
  <si>
    <t>24/04/2026 16:01</t>
  </si>
  <si>
    <t>25/04/2026 16:49</t>
  </si>
  <si>
    <t>https://x.com/virenb65/status/2047616278324814148</t>
  </si>
  <si>
    <t>24/04/2026 15:28</t>
  </si>
  <si>
    <t>https://x.com/PRDhammur/status/2047588851817001410</t>
  </si>
  <si>
    <t>24/04/2026 13:39</t>
  </si>
  <si>
    <t>24/04/2026 13:43</t>
  </si>
  <si>
    <t>24/04/2026 14:38</t>
  </si>
  <si>
    <t>24/04/2026 16:08</t>
  </si>
  <si>
    <t>https://x.com/RituparnaB89/status/2047337716514529558</t>
  </si>
  <si>
    <t>23/04/2026 21:02</t>
  </si>
  <si>
    <t>24/04/2026 13:49</t>
  </si>
  <si>
    <t>23/04/2026 21:04</t>
  </si>
  <si>
    <t>27/04/2026 18:42</t>
  </si>
  <si>
    <t>23/04/2026 21:05</t>
  </si>
  <si>
    <t>24/04/2026 15:33</t>
  </si>
  <si>
    <t>25/04/2026 18:28</t>
  </si>
  <si>
    <t>25/04/2026 18:32</t>
  </si>
  <si>
    <t>25/04/2026 18:42</t>
  </si>
  <si>
    <t>04/05/2026 20:33</t>
  </si>
  <si>
    <t>04/05/2026 20:34</t>
  </si>
  <si>
    <t>https://x.com/Bhavesh219/status/2047280822735294963</t>
  </si>
  <si>
    <t>23/04/2026 17:15</t>
  </si>
  <si>
    <t>23/04/2026 17:28</t>
  </si>
  <si>
    <t>https://x.com/DhwaniKapadia6/status/2047263443242426836</t>
  </si>
  <si>
    <t>23/04/2026 16:06</t>
  </si>
  <si>
    <t>24/04/2026 11:36</t>
  </si>
  <si>
    <t>https://x.com/76_sidhu/status/2047136237551784089</t>
  </si>
  <si>
    <t>23/04/2026 07:41</t>
  </si>
  <si>
    <t>25/04/2026 14:43</t>
  </si>
  <si>
    <t>https://x.com/kalyanpattem/status/2047054771803066724</t>
  </si>
  <si>
    <t>23/04/2026 02:17</t>
  </si>
  <si>
    <t>https://x.com/invest4future7/status/2046991173928329407</t>
  </si>
  <si>
    <t>22/04/2026 22:05</t>
  </si>
  <si>
    <t>23/04/2026 14:34</t>
  </si>
  <si>
    <t>23/04/2026 20:57</t>
  </si>
  <si>
    <t>24/04/2026 14:07</t>
  </si>
  <si>
    <t>https://x.com/ram_key/status/2046903200834519124</t>
  </si>
  <si>
    <t>22/04/2026 16:15</t>
  </si>
  <si>
    <t>22/04/2026 16:32</t>
  </si>
  <si>
    <t>22/04/2026 19:36</t>
  </si>
  <si>
    <t>24/04/2026 20:21</t>
  </si>
  <si>
    <t>22/04/2026 22:03</t>
  </si>
  <si>
    <t>https://x.com/Sam07Ahmad/status/2046865217141998062</t>
  </si>
  <si>
    <t>22/04/2026 13:44</t>
  </si>
  <si>
    <t>22/04/2026 13:50</t>
  </si>
  <si>
    <t>26/04/2026 00:16</t>
  </si>
  <si>
    <t>26/04/2026 16:04</t>
  </si>
  <si>
    <t>29/04/2026 06:39</t>
  </si>
  <si>
    <t>https://x.com/im_diwakar/status/2046802861280088306</t>
  </si>
  <si>
    <t>22/04/2026 09:36</t>
  </si>
  <si>
    <t>https://x.com/ExplorerTejas/status/2046625685008228857</t>
  </si>
  <si>
    <t>21/04/2026 21:52</t>
  </si>
  <si>
    <t>22/04/2026 12:42</t>
  </si>
  <si>
    <t>22/04/2026 13:42</t>
  </si>
  <si>
    <t>22/04/2026 13:49</t>
  </si>
  <si>
    <t>22/04/2026 16:28</t>
  </si>
  <si>
    <t>23/04/2026 11:10</t>
  </si>
  <si>
    <t>23/04/2026 11:09</t>
  </si>
  <si>
    <t>25/04/2026 14:32</t>
  </si>
  <si>
    <t>23/04/2026 11:26</t>
  </si>
  <si>
    <t>25/04/2026 14:33</t>
  </si>
  <si>
    <t>https://x.com/pradeepvidhani/status/2046620847293755419</t>
  </si>
  <si>
    <t>21/04/2026 21:33</t>
  </si>
  <si>
    <t>https://x.com/i_prg5/status/2046580615060103490</t>
  </si>
  <si>
    <t>21/04/2026 18:53</t>
  </si>
  <si>
    <t>21/04/2026 19:08</t>
  </si>
  <si>
    <t>23/04/2026 12:46</t>
  </si>
  <si>
    <t>https://x.com/vijaydxb_tweet/status/2046545939704487994</t>
  </si>
  <si>
    <t>21/04/2026 16:35</t>
  </si>
  <si>
    <t>21/04/2026 16:43</t>
  </si>
  <si>
    <t>29/04/2026 15:07</t>
  </si>
  <si>
    <t>29/04/2026 15:52</t>
  </si>
  <si>
    <t>29/04/2026 15:09</t>
  </si>
  <si>
    <t>30/04/2026 22:52</t>
  </si>
  <si>
    <t>02/05/2026 13:48</t>
  </si>
  <si>
    <t>https://x.com/aprasad435/status/2046498960039346272</t>
  </si>
  <si>
    <t>21/04/2026 13:29</t>
  </si>
  <si>
    <t>21/04/2026 13:31</t>
  </si>
  <si>
    <t>21/04/2026 13:34</t>
  </si>
  <si>
    <t>21/04/2026 13:36</t>
  </si>
  <si>
    <t>21/04/2026 14:11</t>
  </si>
  <si>
    <t>https://x.com/iamShafeekB/status/2046458777285841256</t>
  </si>
  <si>
    <t>22/04/2026 21:56</t>
  </si>
  <si>
    <t>21/04/2026 23:29</t>
  </si>
  <si>
    <t>22/04/2026 12:19</t>
  </si>
  <si>
    <t>25/04/2026 17:15</t>
  </si>
  <si>
    <t>22/04/2026 12:22</t>
  </si>
  <si>
    <t>26/04/2026 18:20</t>
  </si>
  <si>
    <t>23/04/2026 13:10</t>
  </si>
  <si>
    <t>06/05/2026 11:04</t>
  </si>
  <si>
    <t>24/04/2026 10:01</t>
  </si>
  <si>
    <t>08/05/2026 17:15</t>
  </si>
  <si>
    <t>25/04/2026 17:13</t>
  </si>
  <si>
    <t>08/05/2026 18:26</t>
  </si>
  <si>
    <t>26/04/2026 09:46</t>
  </si>
  <si>
    <t>27/04/2026 14:00</t>
  </si>
  <si>
    <t>https://x.com/NigamMr/status/2046457126818922902</t>
  </si>
  <si>
    <t>23/04/2026 15:12</t>
  </si>
  <si>
    <t>23/04/2026 18:43</t>
  </si>
  <si>
    <t>24/04/2026 15:31</t>
  </si>
  <si>
    <t>27/04/2026 20:24</t>
  </si>
  <si>
    <t>28/04/2026 15:50</t>
  </si>
  <si>
    <t>01/05/2026 07:59</t>
  </si>
  <si>
    <t>https://x.com/neeleshtalathi/status/2046187985000145191</t>
  </si>
  <si>
    <t>https://x.com/neeleshtalathi/status/2046126085621125464</t>
  </si>
  <si>
    <t>20/04/2026 12:47</t>
  </si>
  <si>
    <t>23/04/2026 11:24</t>
  </si>
  <si>
    <t>https://x.com/Jay_Singh01/status/2046090182643081683</t>
  </si>
  <si>
    <t>20/04/2026 10:24</t>
  </si>
  <si>
    <t>20/04/2026 10:54</t>
  </si>
  <si>
    <t>20/04/2026 11:00</t>
  </si>
  <si>
    <t>20/04/2026 11:22</t>
  </si>
  <si>
    <t>22/04/2026 22:01</t>
  </si>
  <si>
    <t>22/04/2026 22:30</t>
  </si>
  <si>
    <t>23/04/2026 10:51</t>
  </si>
  <si>
    <t>22/04/2026 22:33</t>
  </si>
  <si>
    <t>24/04/2026 20:54</t>
  </si>
  <si>
    <t>https://x.com/I_kalpanapatel/status/2046088663138971652</t>
  </si>
  <si>
    <t>20/04/2026 10:18</t>
  </si>
  <si>
    <t>20/04/2026 10:22</t>
  </si>
  <si>
    <t>20/04/2026 10:26</t>
  </si>
  <si>
    <t>20/04/2026 19:49</t>
  </si>
  <si>
    <t>https://x.com/ManojSethy18/status/2045824658315026456</t>
  </si>
  <si>
    <t>19/04/2026 16:49</t>
  </si>
  <si>
    <t>23/04/2026 18:11</t>
  </si>
  <si>
    <t>19/04/2026 17:20</t>
  </si>
  <si>
    <t>24/04/2026 11:37</t>
  </si>
  <si>
    <t>20/04/2026 12:36</t>
  </si>
  <si>
    <t>29/04/2026 06:02</t>
  </si>
  <si>
    <t>23/04/2026 18:29</t>
  </si>
  <si>
    <t>25/04/2026 13:24</t>
  </si>
  <si>
    <t>https://x.com/i_am_ca_aakash/status/2045789951745572999</t>
  </si>
  <si>
    <t>19/04/2026 14:31</t>
  </si>
  <si>
    <t>19/04/2026 16:46</t>
  </si>
  <si>
    <t>https://x.com/ExplorerTejas/status/2045785625983635625</t>
  </si>
  <si>
    <t>19/04/2026 14:14</t>
  </si>
  <si>
    <t>https://x.com/agarwal_shravan/status/2045760775491657956</t>
  </si>
  <si>
    <t>19/04/2026 12:35</t>
  </si>
  <si>
    <t>19/04/2026 17:12</t>
  </si>
  <si>
    <t>20/04/2026 13:12</t>
  </si>
  <si>
    <t>https://x.com/sachinmoto1/status/2045714447617147005</t>
  </si>
  <si>
    <t>19/04/2026 09:31</t>
  </si>
  <si>
    <t>https://x.com/AnkitJa96879837/status/2045548540144074930</t>
  </si>
  <si>
    <t>18/04/2026 22:32</t>
  </si>
  <si>
    <t>18/04/2026 22:35</t>
  </si>
  <si>
    <t>https://x.com/Praful_Kahin/status/2045488391060668611</t>
  </si>
  <si>
    <t>18/04/2026 18:33</t>
  </si>
  <si>
    <t>18/04/2026 18:39</t>
  </si>
  <si>
    <t>18/04/2026 19:21</t>
  </si>
  <si>
    <t>22/04/2026 18:04</t>
  </si>
  <si>
    <t>https://x.com/sajnair/status/2045440674955456682</t>
  </si>
  <si>
    <t>18/04/2026 15:23</t>
  </si>
  <si>
    <t>21/04/2026 19:35</t>
  </si>
  <si>
    <t>https://x.com/sajnair/status/2041397397759402240</t>
  </si>
  <si>
    <t>07/04/2026 11:37</t>
  </si>
  <si>
    <t>07/04/2026 11:56</t>
  </si>
  <si>
    <t>07/04/2026 11:39</t>
  </si>
  <si>
    <t>11/04/2026 10:20</t>
  </si>
  <si>
    <t>11/04/2026 10:18</t>
  </si>
  <si>
    <t>14/04/2026 16:31</t>
  </si>
  <si>
    <t>https://x.com/anxsriv173/status/2045429730590265452</t>
  </si>
  <si>
    <t>25/04/2026 16:17</t>
  </si>
  <si>
    <t>25/04/2026 17:07</t>
  </si>
  <si>
    <t>25/04/2026 17:19</t>
  </si>
  <si>
    <t>01/05/2026 09:11</t>
  </si>
  <si>
    <t>25/04/2026 20:35</t>
  </si>
  <si>
    <t>16/05/2026 13:18</t>
  </si>
  <si>
    <t>27/04/2026 15:59</t>
  </si>
  <si>
    <t>20/05/2026 20:02</t>
  </si>
  <si>
    <t>27/04/2026 16:01</t>
  </si>
  <si>
    <t>06/05/2026 11:12</t>
  </si>
  <si>
    <t>08/05/2026 10:35</t>
  </si>
  <si>
    <t>https://x.com/gupta_0121/status/2045420474658959792</t>
  </si>
  <si>
    <t>18/04/2026 14:03</t>
  </si>
  <si>
    <t>18/04/2026 14:06</t>
  </si>
  <si>
    <t>21/04/2026 18:03</t>
  </si>
  <si>
    <t>https://x.com/smartpaagal/status/2045379966876127358</t>
  </si>
  <si>
    <t>18/04/2026 11:22</t>
  </si>
  <si>
    <t>18/04/2026 11:23</t>
  </si>
  <si>
    <t>https://x.com/ErGauravkumar07/status/2045363848933503165</t>
  </si>
  <si>
    <t>18/04/2026 10:18</t>
  </si>
  <si>
    <t>18/04/2026 10:20</t>
  </si>
  <si>
    <t>18/04/2026 10:23</t>
  </si>
  <si>
    <t>21/04/2026 18:47</t>
  </si>
  <si>
    <t>21/04/2026 18:56</t>
  </si>
  <si>
    <t>https://x.com/ShwetaVijayNair/status/2045349478434210183</t>
  </si>
  <si>
    <t>18/04/2026 09:21</t>
  </si>
  <si>
    <t>18/04/2026 11:14</t>
  </si>
  <si>
    <t>https://x.com/thetusharjainn/status/2045207835735433530</t>
  </si>
  <si>
    <t>17/04/2026 23:58</t>
  </si>
  <si>
    <t>18/04/2026 11:12</t>
  </si>
  <si>
    <t>18/04/2026 18:55</t>
  </si>
  <si>
    <t>18/04/2026 18:58</t>
  </si>
  <si>
    <t>21/04/2026 01:25</t>
  </si>
  <si>
    <t>21/04/2026 18:08</t>
  </si>
  <si>
    <t>https://x.com/nairvvk/status/2045128509069447626</t>
  </si>
  <si>
    <t>17/04/2026 18:43</t>
  </si>
  <si>
    <t>17/04/2026 18:53</t>
  </si>
  <si>
    <t>17/04/2026 18:45</t>
  </si>
  <si>
    <t>19/04/2026 18:56</t>
  </si>
  <si>
    <t>19/04/2026 12:42</t>
  </si>
  <si>
    <t>https://x.com/CIO100x/status/2045047046068187524</t>
  </si>
  <si>
    <t>17/04/2026 13:19</t>
  </si>
  <si>
    <t>https://x.com/sagar_bansl/status/2045015533092024559</t>
  </si>
  <si>
    <t>17/04/2026 11:14</t>
  </si>
  <si>
    <t>https://x.com/gupta3081988/status/2044837341068759447</t>
  </si>
  <si>
    <t>16/04/2026 23:26</t>
  </si>
  <si>
    <t>17/04/2026 13:59</t>
  </si>
  <si>
    <t>https://x.com/sanchitrasiya/status/2044749288052601223</t>
  </si>
  <si>
    <t>16/04/2026 17:36</t>
  </si>
  <si>
    <t>16/04/2026 17:39</t>
  </si>
  <si>
    <t>16/04/2026 17:41</t>
  </si>
  <si>
    <t>16/04/2026 17:47</t>
  </si>
  <si>
    <t>https://x.com/imrahulbasu/status/2044729814750490724</t>
  </si>
  <si>
    <t>16/04/2026 16:19</t>
  </si>
  <si>
    <t>16/04/2026 16:43</t>
  </si>
  <si>
    <t>https://x.com/iamsimplemanUP/status/2044716931786391854</t>
  </si>
  <si>
    <t>16/04/2026 16:30</t>
  </si>
  <si>
    <t>https://x.com/pradeep_nar/status/2044713937044976016</t>
  </si>
  <si>
    <t>16/04/2026 15:16</t>
  </si>
  <si>
    <t>16/04/2026 18:55</t>
  </si>
  <si>
    <t>17/04/2026 06:48</t>
  </si>
  <si>
    <t>29/04/2026 05:21</t>
  </si>
  <si>
    <t>https://x.com/ashutoshmahatma/status/2044688547987488843</t>
  </si>
  <si>
    <t>16/04/2026 13:35</t>
  </si>
  <si>
    <t>16/04/2026 13:40</t>
  </si>
  <si>
    <t>https://x.com/lakshmitargod/status/2044657191869981071</t>
  </si>
  <si>
    <t>16/04/2026 11:30</t>
  </si>
  <si>
    <t>16/04/2026 11:57</t>
  </si>
  <si>
    <t>19/04/2026 18:51</t>
  </si>
  <si>
    <t>https://x.com/AnushreeSawarn/status/2044653703656038796</t>
  </si>
  <si>
    <t>16/04/2026 11:16</t>
  </si>
  <si>
    <t>16/04/2026 11:18</t>
  </si>
  <si>
    <t>16/04/2026 11:24</t>
  </si>
  <si>
    <t>17/04/2026 10:54</t>
  </si>
  <si>
    <t>17/04/2026 10:56</t>
  </si>
  <si>
    <t>20/04/2026 15:32</t>
  </si>
  <si>
    <t>20/04/2026 17:03</t>
  </si>
  <si>
    <t>21/04/2026 17:01</t>
  </si>
  <si>
    <t>25/04/2026 06:41</t>
  </si>
  <si>
    <t>https://x.com/imrahulbasu/status/2044288955663954315</t>
  </si>
  <si>
    <t>15/04/2026 11:07</t>
  </si>
  <si>
    <t>https://x.com/jaijoshi118/status/2044272961209913691</t>
  </si>
  <si>
    <t>15/04/2026 10:03</t>
  </si>
  <si>
    <t>15/04/2026 10:08</t>
  </si>
  <si>
    <t>15/04/2026 10:06</t>
  </si>
  <si>
    <t>20/04/2026 17:21</t>
  </si>
  <si>
    <t>15/04/2026 10:28</t>
  </si>
  <si>
    <t>21/04/2026 17:00</t>
  </si>
  <si>
    <t>20/04/2026 17:09</t>
  </si>
  <si>
    <t>20/04/2026 17:16</t>
  </si>
  <si>
    <t>https://x.com/imrahulbasu/status/2044268104449249328</t>
  </si>
  <si>
    <t>15/04/2026 09:44</t>
  </si>
  <si>
    <t>https://x.com/Ashish_VAgarwal/status/2043971436956815496</t>
  </si>
  <si>
    <t>14/04/2026 14:05</t>
  </si>
  <si>
    <t>14/04/2026 14:46</t>
  </si>
  <si>
    <t>18/04/2026 16:02</t>
  </si>
  <si>
    <t>https://x.com/TweetTaurus/status/2043956137553473582</t>
  </si>
  <si>
    <t>14/04/2026 13:04</t>
  </si>
  <si>
    <t>https://x.com/rohgid/status/2043925120314683898</t>
  </si>
  <si>
    <t>14/04/2026 11:01</t>
  </si>
  <si>
    <t>https://x.com/KAILASHVASHISH5/status/2043905517588975649</t>
  </si>
  <si>
    <t>14/04/2026 09:43</t>
  </si>
  <si>
    <t>14/04/2026 12:21</t>
  </si>
  <si>
    <t>14/04/2026 14:52</t>
  </si>
  <si>
    <t>14/04/2026 14:54</t>
  </si>
  <si>
    <t>28/04/2026 13:08</t>
  </si>
  <si>
    <t>28/04/2026 13:11</t>
  </si>
  <si>
    <t>27/05/2026 10:14</t>
  </si>
  <si>
    <t>27/05/2026 10:15</t>
  </si>
  <si>
    <t>https://x.com/Nairit90/status/2043896999720956139</t>
  </si>
  <si>
    <t>14/04/2026 09:09</t>
  </si>
  <si>
    <t>14/04/2026 12:20</t>
  </si>
  <si>
    <t>https://x.com/Nairit90/status/2043895529667735827</t>
  </si>
  <si>
    <t>14/04/2026 09:04</t>
  </si>
  <si>
    <t>https://x.com/maitrayie/status/2043725056585707738</t>
  </si>
  <si>
    <t>13/04/2026 21:46</t>
  </si>
  <si>
    <t>14/04/2026 12:13</t>
  </si>
  <si>
    <t>16/04/2026 19:07</t>
  </si>
  <si>
    <t>https://x.com/amarprabhu417/status/2043689263758463218</t>
  </si>
  <si>
    <t>13/04/2026 19:24</t>
  </si>
  <si>
    <t>https://x.com/amGopi/status/2043669703630188635</t>
  </si>
  <si>
    <t>13/04/2026 18:06</t>
  </si>
  <si>
    <t>13/04/2026 18:39</t>
  </si>
  <si>
    <t>14/04/2026 19:15</t>
  </si>
  <si>
    <t>15/04/2026 11:51</t>
  </si>
  <si>
    <t>16/04/2026 10:19</t>
  </si>
  <si>
    <t>19/04/2026 18:48</t>
  </si>
  <si>
    <t>17/04/2026 16:14</t>
  </si>
  <si>
    <t>https://x.com/as3091/status/2043224298471776290</t>
  </si>
  <si>
    <t>12/04/2026 12:36</t>
  </si>
  <si>
    <t>12/04/2026 12:50</t>
  </si>
  <si>
    <t>12/04/2026 13:04</t>
  </si>
  <si>
    <t>12/04/2026 13:05</t>
  </si>
  <si>
    <t>12/04/2026 13:08</t>
  </si>
  <si>
    <t>16/04/2026 18:28</t>
  </si>
  <si>
    <t>13/04/2026 12:29</t>
  </si>
  <si>
    <t>13/04/2026 14:18</t>
  </si>
  <si>
    <t>https://x.com/AshishDhamani2/status/2043155945489096843</t>
  </si>
  <si>
    <t>12/04/2026 08:05</t>
  </si>
  <si>
    <t>https://x.com/SachinJain619/status/2042989147997311084</t>
  </si>
  <si>
    <t>11/04/2026 21:02</t>
  </si>
  <si>
    <t>12/04/2026 11:37</t>
  </si>
  <si>
    <t>11/04/2026 21:05</t>
  </si>
  <si>
    <t>https://x.com/Nikhil_Kr_Yadav/status/2042944983251226983</t>
  </si>
  <si>
    <t>11/04/2026 18:10</t>
  </si>
  <si>
    <t>https://x.com/rohixth/status/2042915421805039813</t>
  </si>
  <si>
    <t>11/04/2026 16:09</t>
  </si>
  <si>
    <t>https://x.com/shravan00777/status/2042882596506664990</t>
  </si>
  <si>
    <t>11/04/2026 13:59</t>
  </si>
  <si>
    <t>15/04/2026 16:38</t>
  </si>
  <si>
    <t>16/04/2026 10:53</t>
  </si>
  <si>
    <t>16/04/2026 01:29</t>
  </si>
  <si>
    <t>21/04/2026 18:00</t>
  </si>
  <si>
    <t>17/04/2026 18:54</t>
  </si>
  <si>
    <t>17/04/2026 19:40</t>
  </si>
  <si>
    <t>17/04/2026 19:57</t>
  </si>
  <si>
    <t>22/04/2026 08:42</t>
  </si>
  <si>
    <t>22/04/2026 08:43</t>
  </si>
  <si>
    <t>https://x.com/akku92/status/2042893536279064661</t>
  </si>
  <si>
    <t>11/04/2026 14:42</t>
  </si>
  <si>
    <t>11/04/2026 14:51</t>
  </si>
  <si>
    <t>11/04/2026 15:21</t>
  </si>
  <si>
    <t>https://x.com/misss_popcorn/status/2042871232362938689</t>
  </si>
  <si>
    <t>11/04/2026 13:13</t>
  </si>
  <si>
    <t>11/04/2026 13:15</t>
  </si>
  <si>
    <t>11/04/2026 14:10</t>
  </si>
  <si>
    <t>11/04/2026 14:14</t>
  </si>
  <si>
    <t>15/04/2026 15:43</t>
  </si>
  <si>
    <t>https://x.com/ashitayadav/status/2042667151828619545</t>
  </si>
  <si>
    <t>10/04/2026 23:42</t>
  </si>
  <si>
    <t>https://x.com/PuhanShisu/status/2042637333061947555</t>
  </si>
  <si>
    <t>10/04/2026 21:44</t>
  </si>
  <si>
    <t>11/04/2026 19:37</t>
  </si>
  <si>
    <t>12/04/2026 11:10</t>
  </si>
  <si>
    <t>11/04/2026 23:55</t>
  </si>
  <si>
    <t>https://x.com/parmardharmeshr/status/2042632024062935210</t>
  </si>
  <si>
    <t>10/04/2026 21:23</t>
  </si>
  <si>
    <t>11/04/2026 10:37</t>
  </si>
  <si>
    <t>https://x.com/Mayaraga2690/status/2042513232758477099</t>
  </si>
  <si>
    <t>10/04/2026 13:31</t>
  </si>
  <si>
    <t>10/04/2026 13:50</t>
  </si>
  <si>
    <t>https://x.com/SameerChau4691/status/2042499257077547230</t>
  </si>
  <si>
    <t>10/04/2026 12:35</t>
  </si>
  <si>
    <t>10/04/2026 13:03</t>
  </si>
  <si>
    <t>https://x.com/architaga/status/2042495527598899392</t>
  </si>
  <si>
    <t>10/04/2026 12:20</t>
  </si>
  <si>
    <t>22/04/2026 18:02</t>
  </si>
  <si>
    <t>23/04/2026 16:28</t>
  </si>
  <si>
    <t>24/04/2026 11:41</t>
  </si>
  <si>
    <t>25/05/2026 13:37</t>
  </si>
  <si>
    <t>25/05/2026 14:10</t>
  </si>
  <si>
    <t>25/05/2026 21:03</t>
  </si>
  <si>
    <t>26/05/2026 14:01</t>
  </si>
  <si>
    <t>26/05/2026 15:57</t>
  </si>
  <si>
    <t>26/05/2026 19:32</t>
  </si>
  <si>
    <t>26/05/2026 16:05</t>
  </si>
  <si>
    <t>27/05/2026 21:25</t>
  </si>
  <si>
    <t>28/05/2026 11:39</t>
  </si>
  <si>
    <t>28/05/2026 11:41</t>
  </si>
  <si>
    <t>28/05/2026 11:43</t>
  </si>
  <si>
    <t>https://x.com/gopal2050/status/2042453218891088300</t>
  </si>
  <si>
    <t>10/04/2026 09:32</t>
  </si>
  <si>
    <t>10/04/2026 13:34</t>
  </si>
  <si>
    <t>The Oriental Insurance Co. Ltd.</t>
  </si>
  <si>
    <r>
      <rPr>
        <rFont val="Arial"/>
        <color rgb="FF000000"/>
        <sz val="9.0"/>
        <u/>
      </rPr>
      <t>https://x.com/shruti__kaushik/status/2049442289052008457</t>
    </r>
    <r>
      <rPr>
        <rFont val="Arial"/>
        <color rgb="FF000000"/>
        <sz val="9.0"/>
      </rPr>
      <t xml:space="preserve"> </t>
    </r>
  </si>
  <si>
    <t>29/04/2026 16:24</t>
  </si>
  <si>
    <r>
      <rPr>
        <rFont val="Arial"/>
        <color rgb="FF000000"/>
        <sz val="9.0"/>
        <u/>
      </rPr>
      <t>https://x.com/RadhaRangs/status/2049384588397756452</t>
    </r>
    <r>
      <rPr>
        <rFont val="Arial"/>
        <color rgb="FF000000"/>
        <sz val="9.0"/>
      </rPr>
      <t xml:space="preserve"> </t>
    </r>
  </si>
  <si>
    <t>29/04/2026 12:35</t>
  </si>
  <si>
    <t>11/05/2026 06:38</t>
  </si>
  <si>
    <t>11/05/2026 06:40</t>
  </si>
  <si>
    <t>11/05/2026 09:50</t>
  </si>
  <si>
    <r>
      <rPr>
        <rFont val="Arial"/>
        <color rgb="FF000000"/>
        <sz val="9.0"/>
        <u/>
      </rPr>
      <t>https://x.com/sandip130287/status/2048706684412162512</t>
    </r>
    <r>
      <rPr>
        <rFont val="Arial"/>
        <color rgb="FF000000"/>
        <sz val="9.0"/>
      </rPr>
      <t xml:space="preserve"> </t>
    </r>
  </si>
  <si>
    <t>27/04/2026 15:41</t>
  </si>
  <si>
    <r>
      <rPr>
        <rFont val="Arial"/>
        <color rgb="FF000000"/>
        <sz val="9.0"/>
        <u/>
      </rPr>
      <t>https://x.com/subodhjain1/status/2048636583264551348</t>
    </r>
    <r>
      <rPr>
        <rFont val="Arial"/>
        <color rgb="FF000000"/>
        <sz val="9.0"/>
      </rPr>
      <t xml:space="preserve"> </t>
    </r>
  </si>
  <si>
    <t>27/04/2026 11:03</t>
  </si>
  <si>
    <r>
      <rPr>
        <rFont val="Arial"/>
        <color rgb="FF000000"/>
        <sz val="9.0"/>
        <u/>
      </rPr>
      <t>https://x.com/Shadab35757764/status/2047966466348351857</t>
    </r>
    <r>
      <rPr>
        <rFont val="Arial"/>
        <color rgb="FF000000"/>
        <sz val="9.0"/>
      </rPr>
      <t xml:space="preserve"> </t>
    </r>
  </si>
  <si>
    <t>25/04/2026 14:40</t>
  </si>
  <si>
    <r>
      <rPr>
        <rFont val="Arial"/>
        <color rgb="FF000000"/>
        <sz val="9.0"/>
        <u/>
      </rPr>
      <t>https://x.com/Rajesh761942/status/2047240694088237508</t>
    </r>
    <r>
      <rPr>
        <rFont val="Arial"/>
        <color rgb="FF000000"/>
        <sz val="9.0"/>
      </rPr>
      <t xml:space="preserve"> </t>
    </r>
  </si>
  <si>
    <t>23/04/2026 14:36</t>
  </si>
  <si>
    <r>
      <rPr>
        <rFont val="Arial"/>
        <color rgb="FF000000"/>
        <sz val="9.0"/>
        <u/>
      </rPr>
      <t>https://x.com/naveen25goyal/status/2046907057132216616</t>
    </r>
    <r>
      <rPr>
        <rFont val="Arial"/>
        <color rgb="FF000000"/>
        <sz val="9.0"/>
      </rPr>
      <t xml:space="preserve"> </t>
    </r>
  </si>
  <si>
    <t>22/04/2026 16:30</t>
  </si>
  <si>
    <r>
      <rPr>
        <rFont val="Arial"/>
        <color rgb="FF000000"/>
        <sz val="9.0"/>
        <u/>
      </rPr>
      <t>https://x.com/sagarbhavsar16/status/2043764160610324663</t>
    </r>
    <r>
      <rPr>
        <rFont val="Arial"/>
        <color rgb="FF000000"/>
        <sz val="9.0"/>
      </rPr>
      <t xml:space="preserve"> </t>
    </r>
  </si>
  <si>
    <t>14/04/2026 00:22</t>
  </si>
  <si>
    <t>14/04/2026 21:08</t>
  </si>
  <si>
    <r>
      <rPr>
        <rFont val="Arial"/>
        <color rgb="FF000000"/>
        <sz val="9.0"/>
        <u/>
      </rPr>
      <t>https://x.com/PraveenArakkal/status/2043747754296349034</t>
    </r>
    <r>
      <rPr>
        <rFont val="Arial"/>
        <color rgb="FF000000"/>
        <sz val="9.0"/>
      </rPr>
      <t xml:space="preserve"> </t>
    </r>
  </si>
  <si>
    <t>13/04/2026 23:16</t>
  </si>
  <si>
    <r>
      <rPr>
        <rFont val="Arial"/>
        <color rgb="FF000000"/>
        <sz val="9.0"/>
        <u/>
      </rPr>
      <t>https://x.com/PraveenArakkal/status/2043625506260812252</t>
    </r>
    <r>
      <rPr>
        <rFont val="Arial"/>
        <color rgb="FF000000"/>
        <sz val="9.0"/>
      </rPr>
      <t xml:space="preserve"> </t>
    </r>
  </si>
  <si>
    <t>13/04/2026 15:11</t>
  </si>
  <si>
    <r>
      <rPr>
        <rFont val="Arial"/>
        <color rgb="FF000000"/>
        <sz val="9.0"/>
        <u/>
      </rPr>
      <t>https://x.com/ammar_wasal84/status/2039765544065528285</t>
    </r>
    <r>
      <rPr>
        <rFont val="Arial"/>
        <color rgb="FF000000"/>
        <sz val="9.0"/>
      </rPr>
      <t xml:space="preserve"> </t>
    </r>
  </si>
  <si>
    <t>02/04/2026 23:32</t>
  </si>
  <si>
    <t>Reliance General</t>
  </si>
  <si>
    <r>
      <rPr>
        <rFont val="Arial"/>
        <color rgb="FF000000"/>
        <sz val="9.0"/>
        <u/>
      </rPr>
      <t>https://x.com/bits_threads/status/2046164589478617166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</si>
  <si>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https://x.com/bits_threads/status/2046163051884511290</t>
    </r>
    <r>
      <rPr>
        <rFont val="Arial"/>
        <color rgb="FF000000"/>
        <sz val="9.0"/>
      </rPr>
      <t xml:space="preserve"> </t>
    </r>
  </si>
  <si>
    <t>20/04/2026 15:14</t>
  </si>
  <si>
    <t>20/04/2026 16:07</t>
  </si>
  <si>
    <r>
      <rPr>
        <rFont val="Arial"/>
        <color rgb="FF000000"/>
        <sz val="9.0"/>
        <u/>
      </rPr>
      <t>https://x.com/surya_itbhu/status/2045118644758462611</t>
    </r>
    <r>
      <rPr>
        <rFont val="Arial"/>
        <color rgb="FF000000"/>
        <sz val="9.0"/>
      </rPr>
      <t xml:space="preserve"> </t>
    </r>
  </si>
  <si>
    <t>17/04/2026 18:04</t>
  </si>
  <si>
    <r>
      <rPr>
        <rFont val="Arial"/>
        <color rgb="FF000000"/>
        <sz val="9.0"/>
        <u/>
      </rPr>
      <t>https://x.com/MrSunnybhushan/status/2045118071711617108</t>
    </r>
    <r>
      <rPr>
        <rFont val="Arial"/>
        <color rgb="FF000000"/>
        <sz val="9.0"/>
      </rPr>
      <t xml:space="preserve"> </t>
    </r>
  </si>
  <si>
    <t>17/04/2026 18:01</t>
  </si>
  <si>
    <r>
      <rPr>
        <rFont val="Arial"/>
        <color rgb="FF000000"/>
        <sz val="9.0"/>
        <u/>
      </rPr>
      <t>https://x.com/ipreitz/status/2043563224361296333</t>
    </r>
    <r>
      <rPr>
        <rFont val="Arial"/>
        <color rgb="FF000000"/>
        <sz val="9.0"/>
      </rPr>
      <t xml:space="preserve"> </t>
    </r>
  </si>
  <si>
    <t>13/04/2026 11:03</t>
  </si>
  <si>
    <t>14/04/2026 10:24</t>
  </si>
  <si>
    <t>14/04/2026 11:38</t>
  </si>
  <si>
    <r>
      <rPr>
        <rFont val="Arial"/>
        <color rgb="FF000000"/>
        <sz val="9.0"/>
        <u/>
      </rPr>
      <t>https://x.com/ipreitz/status/2043561120280334788</t>
    </r>
    <r>
      <rPr>
        <rFont val="Arial"/>
        <color rgb="FF000000"/>
        <sz val="9.0"/>
      </rPr>
      <t xml:space="preserve"> </t>
    </r>
  </si>
  <si>
    <t>13/04/2026 10:55</t>
  </si>
  <si>
    <r>
      <rPr>
        <rFont val="Arial"/>
        <color rgb="FF000000"/>
        <sz val="9.0"/>
        <u/>
      </rPr>
      <t>https://x.com/DeSlampam/status/2043246717538300104</t>
    </r>
    <r>
      <rPr>
        <rFont val="Arial"/>
        <color rgb="FF000000"/>
        <sz val="9.0"/>
      </rPr>
      <t xml:space="preserve"> </t>
    </r>
  </si>
  <si>
    <t>12/04/2026 14:05</t>
  </si>
  <si>
    <t>20/04/2026 09:40</t>
  </si>
  <si>
    <r>
      <rPr>
        <rFont val="Arial"/>
        <color rgb="FF000000"/>
        <sz val="9.0"/>
        <u/>
      </rPr>
      <t>https://x.com/AmanJn_/status/2042586495484334381</t>
    </r>
    <r>
      <rPr>
        <rFont val="Arial"/>
        <color rgb="FF000000"/>
        <sz val="9.0"/>
      </rPr>
      <t xml:space="preserve"> </t>
    </r>
  </si>
  <si>
    <t>10/04/2026 18:22</t>
  </si>
  <si>
    <t>29/04/2026 11:09</t>
  </si>
  <si>
    <t>29/04/2026 12:04</t>
  </si>
  <si>
    <t>04/05/2026 13:55</t>
  </si>
  <si>
    <t>07/05/2026 14:27</t>
  </si>
  <si>
    <t>07/05/2026 15:09</t>
  </si>
  <si>
    <t>09/05/2026 17:33</t>
  </si>
  <si>
    <t>13/05/2026 15:13</t>
  </si>
  <si>
    <t>14/05/2026 16:09</t>
  </si>
  <si>
    <r>
      <rPr>
        <rFont val="Arial"/>
        <color rgb="FF000000"/>
        <sz val="9.0"/>
        <u/>
      </rPr>
      <t>https://x.com/NameaNemam33681/status/2041885464039452985</t>
    </r>
    <r>
      <rPr>
        <rFont val="Arial"/>
        <color rgb="FF000000"/>
        <sz val="9.0"/>
      </rPr>
      <t xml:space="preserve"> </t>
    </r>
  </si>
  <si>
    <t>08/04/2026 19:56</t>
  </si>
  <si>
    <t>09/04/2026 10:39</t>
  </si>
  <si>
    <r>
      <rPr>
        <rFont val="Arial"/>
        <color rgb="FF000000"/>
        <sz val="9.0"/>
        <u/>
      </rPr>
      <t>https://x.com/rockstarsani/status/2041870332857127405</t>
    </r>
    <r>
      <rPr>
        <rFont val="Arial"/>
        <color rgb="FF000000"/>
        <sz val="9.0"/>
      </rPr>
      <t xml:space="preserve"> </t>
    </r>
  </si>
  <si>
    <t>08/04/2026 18:56</t>
  </si>
  <si>
    <t>08/04/2026 19:00</t>
  </si>
  <si>
    <t>09/04/2026 14:43</t>
  </si>
  <si>
    <r>
      <rPr>
        <rFont val="Arial"/>
        <color rgb="FF000000"/>
        <sz val="9.0"/>
        <u/>
      </rPr>
      <t>https://x.com/bits_threads/status/2041515731309998459</t>
    </r>
    <r>
      <rPr>
        <rFont val="Arial"/>
        <color rgb="FF000000"/>
        <sz val="9.0"/>
      </rPr>
      <t xml:space="preserve"> </t>
    </r>
  </si>
  <si>
    <t>07/04/2026 19:27</t>
  </si>
  <si>
    <t>08/04/2026 11:08</t>
  </si>
  <si>
    <t>08/04/2026 15:32</t>
  </si>
  <si>
    <t>08/04/2026 16:19</t>
  </si>
  <si>
    <r>
      <rPr>
        <rFont val="Arial"/>
        <color rgb="FF000000"/>
        <sz val="9.0"/>
        <u/>
      </rPr>
      <t>https://x.com/nnagu2009/status/2041467645766307890</t>
    </r>
    <r>
      <rPr>
        <rFont val="Arial"/>
        <color rgb="FF000000"/>
        <sz val="9.0"/>
      </rPr>
      <t xml:space="preserve"> </t>
    </r>
  </si>
  <si>
    <t>07/04/2026 16:16</t>
  </si>
  <si>
    <r>
      <rPr>
        <rFont val="Arial"/>
        <color rgb="FF000000"/>
        <sz val="9.0"/>
        <u/>
      </rPr>
      <t>https://x.com/nnagu2009/status/2041463856598569292</t>
    </r>
    <r>
      <rPr>
        <rFont val="Arial"/>
        <color rgb="FF000000"/>
        <sz val="9.0"/>
      </rPr>
      <t xml:space="preserve"> </t>
    </r>
  </si>
  <si>
    <t>07/04/2026 16:01</t>
  </si>
  <si>
    <r>
      <rPr>
        <rFont val="Arial"/>
        <color rgb="FF000000"/>
        <sz val="9.0"/>
        <u/>
      </rPr>
      <t>https://x.com/bad_agrawal/status/2041217238624239719</t>
    </r>
    <r>
      <rPr>
        <rFont val="Arial"/>
        <color rgb="FF000000"/>
        <sz val="9.0"/>
      </rPr>
      <t xml:space="preserve"> </t>
    </r>
  </si>
  <si>
    <t>06/04/2026 23:41</t>
  </si>
  <si>
    <t>07/04/2026 09:24</t>
  </si>
  <si>
    <r>
      <rPr>
        <rFont val="Arial"/>
        <color rgb="FF000000"/>
        <sz val="9.0"/>
        <u/>
      </rPr>
      <t>https://x.com/CharanDevidi/status/2041093068485783894</t>
    </r>
    <r>
      <rPr>
        <rFont val="Arial"/>
        <color rgb="FF000000"/>
        <sz val="9.0"/>
      </rPr>
      <t xml:space="preserve"> </t>
    </r>
  </si>
  <si>
    <t>06/04/2026 15:28</t>
  </si>
  <si>
    <t>06/04/2026 17:12</t>
  </si>
  <si>
    <t>06/04/2026 18:06</t>
  </si>
  <si>
    <r>
      <rPr>
        <rFont val="Arial"/>
        <color rgb="FF000000"/>
        <sz val="9.0"/>
        <u/>
      </rPr>
      <t>https://x.com/bits_threads/status/2041030167842422820</t>
    </r>
    <r>
      <rPr>
        <rFont val="Arial"/>
        <color rgb="FF000000"/>
        <sz val="9.0"/>
      </rPr>
      <t xml:space="preserve"> </t>
    </r>
  </si>
  <si>
    <t>06/04/2026 11:18</t>
  </si>
  <si>
    <t>06/04/2026 12:57</t>
  </si>
  <si>
    <r>
      <rPr>
        <rFont val="Arial"/>
        <color rgb="FF000000"/>
        <sz val="9.0"/>
        <u/>
      </rPr>
      <t>https://x.com/shahnainanshua/status/2040838030584680639</t>
    </r>
    <r>
      <rPr>
        <rFont val="Arial"/>
        <color rgb="FF000000"/>
        <sz val="9.0"/>
      </rPr>
      <t xml:space="preserve"> </t>
    </r>
  </si>
  <si>
    <t>05/04/2026 22:34</t>
  </si>
  <si>
    <t>06/04/2026 12:59</t>
  </si>
  <si>
    <r>
      <rPr>
        <rFont val="Arial"/>
        <color rgb="FF000000"/>
        <sz val="9.0"/>
        <u/>
      </rPr>
      <t>https://x.com/CreditCardsInd/status/2040825256953483544</t>
    </r>
    <r>
      <rPr>
        <rFont val="Arial"/>
        <color rgb="FF000000"/>
        <sz val="9.0"/>
      </rPr>
      <t xml:space="preserve"> </t>
    </r>
  </si>
  <si>
    <t>05/04/2026 21:43</t>
  </si>
  <si>
    <t>06/04/2026 13:10</t>
  </si>
  <si>
    <r>
      <rPr>
        <rFont val="Arial"/>
        <color rgb="FF000000"/>
        <sz val="9.0"/>
        <u/>
      </rPr>
      <t>https://x.com/bits_threads/status/2040099234557694036</t>
    </r>
    <r>
      <rPr>
        <rFont val="Arial"/>
        <color rgb="FF000000"/>
        <sz val="9.0"/>
      </rPr>
      <t xml:space="preserve"> </t>
    </r>
  </si>
  <si>
    <t>03/04/2026 21:38</t>
  </si>
  <si>
    <r>
      <rPr>
        <rFont val="Arial"/>
        <color rgb="FF000000"/>
        <sz val="9.0"/>
        <u/>
      </rPr>
      <t>https://x.com/ayushsairan/status/2040054155147137239</t>
    </r>
    <r>
      <rPr>
        <rFont val="Arial"/>
        <color rgb="FF000000"/>
        <sz val="9.0"/>
      </rPr>
      <t xml:space="preserve"> </t>
    </r>
  </si>
  <si>
    <t>06/04/2026 13:49</t>
  </si>
  <si>
    <t>13/04/2026 15:25</t>
  </si>
  <si>
    <r>
      <rPr>
        <rFont val="Arial"/>
        <color rgb="FF000000"/>
        <sz val="9.0"/>
        <u/>
      </rPr>
      <t>https://x.com/maheshshearu727/status/2039246981974159429</t>
    </r>
    <r>
      <rPr>
        <rFont val="Arial"/>
        <color rgb="FF000000"/>
        <sz val="9.0"/>
      </rPr>
      <t xml:space="preserve"> </t>
    </r>
  </si>
  <si>
    <t>01/04/2026 13:12</t>
  </si>
  <si>
    <t>01/04/2026 13:24</t>
  </si>
  <si>
    <r>
      <rPr>
        <rFont val="Arial"/>
        <color rgb="FF000000"/>
        <sz val="9.0"/>
        <u/>
      </rPr>
      <t>https://x.com/bits_threads/status/2039157685929820291</t>
    </r>
    <r>
      <rPr>
        <rFont val="Arial"/>
        <color rgb="FF000000"/>
        <sz val="9.0"/>
      </rPr>
      <t xml:space="preserve"> </t>
    </r>
  </si>
  <si>
    <t>01/04/2026 07:17</t>
  </si>
  <si>
    <t>01/04/2026 10:33</t>
  </si>
  <si>
    <t>01/04/2026 14:39</t>
  </si>
  <si>
    <t>01/04/2026 14:52</t>
  </si>
  <si>
    <t>Royal Sundaram General Insurance Co. Ltd.</t>
  </si>
  <si>
    <r>
      <rPr>
        <rFont val="Arial"/>
        <color rgb="FF000000"/>
        <sz val="9.0"/>
        <u/>
      </rPr>
      <t>https://x.com/rajatdkhater/status/2047934847033942446</t>
    </r>
    <r>
      <rPr>
        <rFont val="Arial"/>
        <color rgb="FF000000"/>
        <sz val="9.0"/>
      </rPr>
      <t xml:space="preserve"> </t>
    </r>
  </si>
  <si>
    <t>27/04/2026 10:11</t>
  </si>
  <si>
    <t>25/04/2026 15:03</t>
  </si>
  <si>
    <t>27/04/2026 14:02</t>
  </si>
  <si>
    <r>
      <rPr>
        <rFont val="Arial"/>
        <color rgb="FF000000"/>
        <sz val="9.0"/>
        <u/>
      </rPr>
      <t>https://x.com/gsv_ramu/status/2043653377956175926</t>
    </r>
    <r>
      <rPr>
        <rFont val="Arial"/>
        <color rgb="FF000000"/>
        <sz val="9.0"/>
      </rPr>
      <t xml:space="preserve"> </t>
    </r>
  </si>
  <si>
    <t>13/04/2026 17:01</t>
  </si>
  <si>
    <t>15/04/2026 09:29</t>
  </si>
  <si>
    <r>
      <rPr>
        <rFont val="Arial"/>
        <color rgb="FF000000"/>
        <sz val="9.0"/>
        <u/>
      </rPr>
      <t>https://x.com/taimnisameer/status/2042525851816988964</t>
    </r>
    <r>
      <rPr>
        <rFont val="Arial"/>
        <color rgb="FF000000"/>
        <sz val="9.0"/>
      </rPr>
      <t xml:space="preserve"> </t>
    </r>
  </si>
  <si>
    <t>10/04/2026 14:21</t>
  </si>
  <si>
    <t>10/04/2026 16:51</t>
  </si>
  <si>
    <t>10/04/2026 17:27</t>
  </si>
  <si>
    <r>
      <rPr>
        <rFont val="Arial"/>
        <color rgb="FF000000"/>
        <sz val="9.0"/>
        <u/>
      </rPr>
      <t>https://x.com/DrParasJain15/status/2041104752684249561</t>
    </r>
    <r>
      <rPr>
        <rFont val="Arial"/>
        <color rgb="FF000000"/>
        <sz val="9.0"/>
      </rPr>
      <t xml:space="preserve"> </t>
    </r>
  </si>
  <si>
    <t>06/04/2026 16:14</t>
  </si>
  <si>
    <t>06/04/2026 17:20</t>
  </si>
  <si>
    <r>
      <rPr>
        <rFont val="Arial"/>
        <color rgb="FF000000"/>
        <sz val="9.0"/>
        <u/>
      </rPr>
      <t>https://x.com/asureshkr/status/2039703030313177207</t>
    </r>
    <r>
      <rPr>
        <rFont val="Arial"/>
        <color rgb="FF000000"/>
        <sz val="9.0"/>
      </rPr>
      <t xml:space="preserve"> </t>
    </r>
  </si>
  <si>
    <t>02/04/2026 19:24</t>
  </si>
  <si>
    <t>03/04/2026 09:33</t>
  </si>
  <si>
    <t>SBI General Insurance Co. Ltd.</t>
  </si>
  <si>
    <r>
      <rPr>
        <rFont val="Arial"/>
        <color rgb="FF000000"/>
        <sz val="9.0"/>
        <u/>
      </rPr>
      <t>https://x.com/srsrao1957/status/2049125365940122087</t>
    </r>
    <r>
      <rPr>
        <rFont val="Arial"/>
        <color rgb="FF000000"/>
        <sz val="9.0"/>
      </rPr>
      <t xml:space="preserve"> </t>
    </r>
  </si>
  <si>
    <t>28/04/2026 19:25</t>
  </si>
  <si>
    <r>
      <rPr>
        <rFont val="Arial"/>
        <color rgb="FF000000"/>
        <sz val="9.0"/>
        <u/>
      </rPr>
      <t>https://x.com/RAKESHMAHANTA5/status/2047346493519184198</t>
    </r>
    <r>
      <rPr>
        <rFont val="Arial"/>
        <color rgb="FF000000"/>
        <sz val="9.0"/>
      </rPr>
      <t xml:space="preserve"> </t>
    </r>
  </si>
  <si>
    <t>23/04/2026 21:36</t>
  </si>
  <si>
    <t>23/04/2026 21:45</t>
  </si>
  <si>
    <r>
      <rPr>
        <rFont val="Arial"/>
        <color rgb="FF000000"/>
        <sz val="9.0"/>
        <u/>
      </rPr>
      <t>https://x.com/RajnikantGoti1/status/2043694323120947251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</si>
  <si>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https://x.com/zeeshan_Newrek/status/2043676134530035929</t>
    </r>
    <r>
      <rPr>
        <rFont val="Arial"/>
        <color rgb="FF000000"/>
        <sz val="9.0"/>
      </rPr>
      <t xml:space="preserve"> </t>
    </r>
  </si>
  <si>
    <t>13/04/2026 18:32</t>
  </si>
  <si>
    <t>13/04/2026 18:51</t>
  </si>
  <si>
    <t>13/04/2026 18:52</t>
  </si>
  <si>
    <t>13/04/2026 18:58</t>
  </si>
  <si>
    <t>14/04/2026 12:37</t>
  </si>
  <si>
    <r>
      <rPr>
        <rFont val="Arial"/>
        <color rgb="FF000000"/>
        <sz val="9.0"/>
        <u/>
      </rPr>
      <t>https://x.com/bipin_kataria4/status/2042151076871430204</t>
    </r>
    <r>
      <rPr>
        <rFont val="Arial"/>
        <color rgb="FF000000"/>
        <sz val="9.0"/>
      </rPr>
      <t xml:space="preserve"> </t>
    </r>
  </si>
  <si>
    <t>09/04/2026 13:32</t>
  </si>
  <si>
    <t>09/04/2026 13:45</t>
  </si>
  <si>
    <t>10/04/2026 10:18</t>
  </si>
  <si>
    <t>10/04/2026 10:19</t>
  </si>
  <si>
    <t>17/04/2026 19:18</t>
  </si>
  <si>
    <t>na</t>
  </si>
  <si>
    <r>
      <rPr>
        <rFont val="Arial"/>
        <color rgb="FF000000"/>
        <sz val="9.0"/>
        <u/>
      </rPr>
      <t>https://x.com/RajnikantGoti1/status/2041847675218489389</t>
    </r>
    <r>
      <rPr>
        <rFont val="Arial"/>
        <color rgb="FF000000"/>
        <sz val="9.0"/>
      </rPr>
      <t xml:space="preserve"> </t>
    </r>
  </si>
  <si>
    <t>08/04/2026 17:26</t>
  </si>
  <si>
    <t>08/04/2026 17:44</t>
  </si>
  <si>
    <t>11/04/2026 17:01</t>
  </si>
  <si>
    <t>11/04/2026 17:30</t>
  </si>
  <si>
    <t>11/04/2026 17:19</t>
  </si>
  <si>
    <t>20/04/2026 09:22</t>
  </si>
  <si>
    <t>12/04/2026 09:35</t>
  </si>
  <si>
    <t>12/04/2026 09:36</t>
  </si>
  <si>
    <t>18/04/2026 07:35</t>
  </si>
  <si>
    <r>
      <rPr>
        <rFont val="Arial"/>
        <color rgb="FF000000"/>
        <sz val="9.0"/>
        <u/>
      </rPr>
      <t>https://x.com/naveenjakhar111/status/2041435607529087217</t>
    </r>
    <r>
      <rPr>
        <rFont val="Arial"/>
        <color rgb="FF000000"/>
        <sz val="9.0"/>
      </rPr>
      <t xml:space="preserve"> </t>
    </r>
  </si>
  <si>
    <t>07/04/2026 14:09</t>
  </si>
  <si>
    <r>
      <rPr>
        <rFont val="Arial"/>
        <color rgb="FF000000"/>
        <sz val="9.0"/>
        <u/>
      </rPr>
      <t>https://x.com/amitwadkar4/status/2039286627395375579</t>
    </r>
    <r>
      <rPr>
        <rFont val="Arial"/>
        <color rgb="FF000000"/>
        <sz val="9.0"/>
      </rPr>
      <t xml:space="preserve"> </t>
    </r>
  </si>
  <si>
    <t>01/04/2026 15:49</t>
  </si>
  <si>
    <t>01/04/2026 16:07</t>
  </si>
  <si>
    <t>Star Health &amp; Allied Insurance Co. Ltd.</t>
  </si>
  <si>
    <t>https://x.com/suchee1995/status/2049540738728571050</t>
  </si>
  <si>
    <t>29/04/2026 22:56</t>
  </si>
  <si>
    <t>29/04/2026 23:29</t>
  </si>
  <si>
    <t>https://x.com/kartikprfs/status/2049513017336004847</t>
  </si>
  <si>
    <t>29/04/2026 21:15</t>
  </si>
  <si>
    <t>01/05/2026 00:30</t>
  </si>
  <si>
    <t>01/05/2026 11:48</t>
  </si>
  <si>
    <t>02/05/2026 08:15</t>
  </si>
  <si>
    <t>02/05/2026 10:00</t>
  </si>
  <si>
    <t>02/05/2026 17:00</t>
  </si>
  <si>
    <t>02/05/2026 18:35</t>
  </si>
  <si>
    <t>02/05/2026 17:01</t>
  </si>
  <si>
    <t>02/05/2026 17:02</t>
  </si>
  <si>
    <t>https://x.com/Monkstud_Nitesh/status/2049398716545782084</t>
  </si>
  <si>
    <t>29/04/2026 13:40</t>
  </si>
  <si>
    <t>29/04/2026 13:32</t>
  </si>
  <si>
    <t>29/04/2026 13:35</t>
  </si>
  <si>
    <t>https://x.com/CharanMatapathi/status/2049379274474537011</t>
  </si>
  <si>
    <t>29/04/2026 12:14</t>
  </si>
  <si>
    <t>29/04/2026 12:23</t>
  </si>
  <si>
    <t>https://x.com/prashantmavi/status/2049328945083056628</t>
  </si>
  <si>
    <t>29/04/2026 08:54</t>
  </si>
  <si>
    <t>29/04/2026 11:38</t>
  </si>
  <si>
    <t>29/04/2026 08:55</t>
  </si>
  <si>
    <t>29/04/2026 12:17</t>
  </si>
  <si>
    <t>https://x.com/prashantmavi/status/2049328840330326147</t>
  </si>
  <si>
    <t>https://x.com/prashantmavi/status/2049321374804758615</t>
  </si>
  <si>
    <t>29/04/2026 08:24</t>
  </si>
  <si>
    <t>https://x.com/jayantgourkar/status/2049201696497377524</t>
  </si>
  <si>
    <t>29/04/2026 00:28</t>
  </si>
  <si>
    <t>29/04/2026 10:19</t>
  </si>
  <si>
    <t>29/04/2026 10:26</t>
  </si>
  <si>
    <t>29/04/2026 16:11</t>
  </si>
  <si>
    <t>29/04/2026 15:34</t>
  </si>
  <si>
    <t>29/04/2026 16:13</t>
  </si>
  <si>
    <t>https://x.com/prashantmavi/status/2049187126139592955</t>
  </si>
  <si>
    <t>28/04/2026 23:30</t>
  </si>
  <si>
    <t>29/04/2026 00:07</t>
  </si>
  <si>
    <t>https://x.com/hari5348_hari/status/2049100507592192015</t>
  </si>
  <si>
    <t>28/04/2026 17:46</t>
  </si>
  <si>
    <t>28/04/2026 17:53</t>
  </si>
  <si>
    <t>13/05/2026 12:04</t>
  </si>
  <si>
    <t>13/05/2026 12:44</t>
  </si>
  <si>
    <t>13/05/2026 13:54</t>
  </si>
  <si>
    <t>https://x.com/NayanMigla71809/status/2049083295032578302</t>
  </si>
  <si>
    <t>28/04/2026 16:38</t>
  </si>
  <si>
    <t>28/04/2026 16:43</t>
  </si>
  <si>
    <t>28/04/2026 18:13</t>
  </si>
  <si>
    <t>29/04/2026 08:21</t>
  </si>
  <si>
    <t>29/04/2026 01:44</t>
  </si>
  <si>
    <t>29/04/2026 13:18</t>
  </si>
  <si>
    <t>08/05/2026 16:04</t>
  </si>
  <si>
    <t>08/05/2026 16:17</t>
  </si>
  <si>
    <t>08/05/2026 16:40</t>
  </si>
  <si>
    <t>08/05/2026 16:47</t>
  </si>
  <si>
    <t>12/05/2026 15:24</t>
  </si>
  <si>
    <t>12/05/2026 15:30</t>
  </si>
  <si>
    <t>14/05/2026 17:22</t>
  </si>
  <si>
    <t>15/05/2026 22:54</t>
  </si>
  <si>
    <t>https://x.com/VbBedi/status/2049027641223811500</t>
  </si>
  <si>
    <t>28/04/2026 12:57</t>
  </si>
  <si>
    <t>28/04/2026 13:10</t>
  </si>
  <si>
    <t>https://x.com/kuldeep25dec/status/2048996365422989510</t>
  </si>
  <si>
    <t>28/04/2026 10:52</t>
  </si>
  <si>
    <t>28/04/2026 11:09</t>
  </si>
  <si>
    <t>https://x.com/Vahariharan/status/2048740108208398493</t>
  </si>
  <si>
    <t>27/04/2026 17:54</t>
  </si>
  <si>
    <t>https://x.com/rahul1136agrawa/status/2048685780026159449</t>
  </si>
  <si>
    <t>27/04/2026 14:18</t>
  </si>
  <si>
    <t>27/04/2026 15:11</t>
  </si>
  <si>
    <t>https://x.com/pranavom8/status/2048683816169136449</t>
  </si>
  <si>
    <t>27/04/2026 14:10</t>
  </si>
  <si>
    <t>28/04/2026 15:53</t>
  </si>
  <si>
    <t>https://x.com/piyushsamnerkar/status/2048354171653685316</t>
  </si>
  <si>
    <t>26/04/2026 16:21</t>
  </si>
  <si>
    <t>https://x.com/AnuragS10207157/status/2048290403166957908</t>
  </si>
  <si>
    <t>26/04/2026 12:07</t>
  </si>
  <si>
    <t>26/04/2026 12:22</t>
  </si>
  <si>
    <t>26/04/2026 12:23</t>
  </si>
  <si>
    <t>https://x.com/MananBhatt2006/status/2048230745366479129</t>
  </si>
  <si>
    <t>26/04/2026 08:10</t>
  </si>
  <si>
    <t>27/04/2026 12:38</t>
  </si>
  <si>
    <t>28/04/2026 17:28</t>
  </si>
  <si>
    <t>https://x.com/anupam_aug15/status/2048207917669859803</t>
  </si>
  <si>
    <t>26/04/2026 06:39</t>
  </si>
  <si>
    <t>27/04/2026 21:41</t>
  </si>
  <si>
    <t>https://x.com/MananBhatt2006/status/2048057585597853801</t>
  </si>
  <si>
    <t>25/04/2026 20:42</t>
  </si>
  <si>
    <t>25/04/2026 20:47</t>
  </si>
  <si>
    <t>https://x.com/vikassable21/status/2048037449000161443</t>
  </si>
  <si>
    <t>25/04/2026 19:22</t>
  </si>
  <si>
    <t>25/04/2026 19:31</t>
  </si>
  <si>
    <t>25/04/2026 19:28</t>
  </si>
  <si>
    <t>27/04/2026 01:35</t>
  </si>
  <si>
    <t>https://x.com/sivakumar0912ce/status/2048026552668139576</t>
  </si>
  <si>
    <t>25/04/2026 18:39</t>
  </si>
  <si>
    <t>25/04/2026 18:53</t>
  </si>
  <si>
    <t>25/04/2026 18:59</t>
  </si>
  <si>
    <t>25/04/2026 19:06</t>
  </si>
  <si>
    <t>https://x.com/AnuragS10207157/status/2048020805754486875</t>
  </si>
  <si>
    <t>25/04/2026 18:16</t>
  </si>
  <si>
    <t>https://x.com/ashutos13510925/status/2047992079016755413</t>
  </si>
  <si>
    <t>25/04/2026 16:22</t>
  </si>
  <si>
    <t>25/04/2026 16:27</t>
  </si>
  <si>
    <t>27/04/2026 15:29</t>
  </si>
  <si>
    <t>https://x.com/star_orm/status/2047991297584365986</t>
  </si>
  <si>
    <t>25/04/2026 16:19</t>
  </si>
  <si>
    <t>https://x.com/AsheshGupta6/status/2047947852132036841</t>
  </si>
  <si>
    <t>25/04/2026 13:26</t>
  </si>
  <si>
    <t>25/04/2026 16:29</t>
  </si>
  <si>
    <t>https://x.com/AsheshGupta6/status/2047919183858704431</t>
  </si>
  <si>
    <t>25/04/2026 11:32</t>
  </si>
  <si>
    <t>https://x.com/andy_53216/status/2047941924380889124</t>
  </si>
  <si>
    <t>25/04/2026 13:02</t>
  </si>
  <si>
    <t>25/04/2026 13:29</t>
  </si>
  <si>
    <t>25/04/2026 16:25</t>
  </si>
  <si>
    <t>https://x.com/shiva_chaudhary/status/2047705025980637389</t>
  </si>
  <si>
    <t>24/04/2026 21:46</t>
  </si>
  <si>
    <t>27/04/2026 16:18</t>
  </si>
  <si>
    <t>https://x.com/karthiss/status/2047698454441513285</t>
  </si>
  <si>
    <t>24/04/2026 20:55</t>
  </si>
  <si>
    <t>24/04/2026 21:15</t>
  </si>
  <si>
    <t>https://x.com/sonishubham26/status/2047628531417620926</t>
  </si>
  <si>
    <t>24/04/2026 16:17</t>
  </si>
  <si>
    <t>24/04/2026 16:24</t>
  </si>
  <si>
    <t>24/04/2026 16:19</t>
  </si>
  <si>
    <t>24/04/2026 16:21</t>
  </si>
  <si>
    <t>24/04/2026 16:22</t>
  </si>
  <si>
    <t>https://x.com/Ravindraag/status/2047549828360757536</t>
  </si>
  <si>
    <t>24/04/2026 11:33</t>
  </si>
  <si>
    <t>https://x.com/rohidas242/status/2047524082867175841</t>
  </si>
  <si>
    <t>24/04/2026 09:22</t>
  </si>
  <si>
    <t>24/04/2026 09:27</t>
  </si>
  <si>
    <t>24/04/2026 16:09</t>
  </si>
  <si>
    <t>24/04/2026 16:14</t>
  </si>
  <si>
    <t>25/04/2026 09:39</t>
  </si>
  <si>
    <t>27/04/2026 16:28</t>
  </si>
  <si>
    <t>https://x.com/keepitquiet403/status/2047403267047731658</t>
  </si>
  <si>
    <t>24/04/2026 01:22</t>
  </si>
  <si>
    <t>https://x.com/ray_chaudhury/status/2047325848437703023</t>
  </si>
  <si>
    <t>23/04/2026 20:14</t>
  </si>
  <si>
    <t>23/04/2026 21:26</t>
  </si>
  <si>
    <t>25/04/2026 16:41</t>
  </si>
  <si>
    <t>https://x.com/marushyam/status/2047325266603880820</t>
  </si>
  <si>
    <t>23/04/2026 20:12</t>
  </si>
  <si>
    <t>23/04/2026 20:17</t>
  </si>
  <si>
    <t>https://x.com/AshrafMujtaba/status/2047254642304913409</t>
  </si>
  <si>
    <t>23/04/2026 15:31</t>
  </si>
  <si>
    <t>23/04/2026 15:42</t>
  </si>
  <si>
    <t>https://x.com/nationalist_doc/status/2047231843465089164</t>
  </si>
  <si>
    <t>23/04/2026 14:01</t>
  </si>
  <si>
    <t>23/04/2026 14:40</t>
  </si>
  <si>
    <t>https://x.com/avm019/status/2047175916867248407</t>
  </si>
  <si>
    <t>23/04/2026 10:19</t>
  </si>
  <si>
    <t>24/04/2026 14:10</t>
  </si>
  <si>
    <t>https://x.com/imASHIS_AJ/status/2047168817974137289</t>
  </si>
  <si>
    <t>23/04/2026 09:50</t>
  </si>
  <si>
    <t>23/04/2026 10:21</t>
  </si>
  <si>
    <t>23/04/2026 15:37</t>
  </si>
  <si>
    <t>23/04/2026 20:16</t>
  </si>
  <si>
    <t>https://x.com/SUNILJO75654015/status/2047152979372060845</t>
  </si>
  <si>
    <t>23/04/2026 08:47</t>
  </si>
  <si>
    <t>23/04/2026 14:44</t>
  </si>
  <si>
    <t>03/05/2026 21:21</t>
  </si>
  <si>
    <t>03/05/2026 10:39</t>
  </si>
  <si>
    <t>04/05/2026 16:55</t>
  </si>
  <si>
    <t>https://x.com/SUNILJO75654015/status/2046980533201289319</t>
  </si>
  <si>
    <t>22/04/2026 21:22</t>
  </si>
  <si>
    <t>https://x.com/VGVarun/status/2047145568674480469</t>
  </si>
  <si>
    <t>23/04/2026 08:18</t>
  </si>
  <si>
    <t>23/04/2026 09:28</t>
  </si>
  <si>
    <t>https://x.com/sapnashri82/status/2047013461717291497</t>
  </si>
  <si>
    <t>22/04/2026 23:33</t>
  </si>
  <si>
    <t>22/04/2026 23:46</t>
  </si>
  <si>
    <t>https://x.com/AruneshShukla11/status/2046862606133276777</t>
  </si>
  <si>
    <t>22/04/2026 13:34</t>
  </si>
  <si>
    <t>22/04/2026 13:37</t>
  </si>
  <si>
    <t>25/04/2026 15:52</t>
  </si>
  <si>
    <t>https://x.com/SUNILJO75654015/status/2046846793292697736</t>
  </si>
  <si>
    <t>22/04/2026 12:31</t>
  </si>
  <si>
    <t>22/04/2026 12:36</t>
  </si>
  <si>
    <t>https://x.com/ahmedroyal2015/status/2046820030118256845</t>
  </si>
  <si>
    <t>22/04/2026 10:44</t>
  </si>
  <si>
    <t>https://x.com/mr_kishorereddy/status/2046812240133927153</t>
  </si>
  <si>
    <t>22/04/2026 10:14</t>
  </si>
  <si>
    <t>22/04/2026 10:28</t>
  </si>
  <si>
    <t>23/04/2026 20:33</t>
  </si>
  <si>
    <t>https://x.com/BrishketuShara1/status/2046571617577558439</t>
  </si>
  <si>
    <t>21/04/2026 18:17</t>
  </si>
  <si>
    <t>22/04/2026 12:18</t>
  </si>
  <si>
    <t>22/04/2026 06:31</t>
  </si>
  <si>
    <t>09/05/2026 09:47</t>
  </si>
  <si>
    <t>22/04/2026 06:33</t>
  </si>
  <si>
    <t>09/05/2026 10:16</t>
  </si>
  <si>
    <t>22/04/2026 09:40</t>
  </si>
  <si>
    <t>09/05/2026 14:03</t>
  </si>
  <si>
    <t>09/05/2026 16:44</t>
  </si>
  <si>
    <t>09/05/2026 07:47</t>
  </si>
  <si>
    <t>09/05/2026 07:51</t>
  </si>
  <si>
    <t>09/05/2026 07:53</t>
  </si>
  <si>
    <t>09/05/2026 07:56</t>
  </si>
  <si>
    <t>https://x.com/jalalakbarsmd/status/2046518318857871377</t>
  </si>
  <si>
    <t>21/04/2026 14:46</t>
  </si>
  <si>
    <t>21/04/2026 14:49</t>
  </si>
  <si>
    <t>22/04/2026 11:51</t>
  </si>
  <si>
    <t>29/05/2026 12:11</t>
  </si>
  <si>
    <t>29/05/2026 12:15</t>
  </si>
  <si>
    <t>29/05/2026 12:14</t>
  </si>
  <si>
    <t>30/05/2026 15:08</t>
  </si>
  <si>
    <t>https://x.com/knowurculture/status/2046493701623722454</t>
  </si>
  <si>
    <t>21/04/2026 13:08</t>
  </si>
  <si>
    <t>21/04/2026 13:27</t>
  </si>
  <si>
    <t>21/04/2026 16:01</t>
  </si>
  <si>
    <t>22/04/2026 13:38</t>
  </si>
  <si>
    <t>https://x.com/sumat_patel/status/2046265296038592549</t>
  </si>
  <si>
    <t>20/04/2026 22:00</t>
  </si>
  <si>
    <t>20/04/2026 22:09</t>
  </si>
  <si>
    <t>29/04/2026 08:14</t>
  </si>
  <si>
    <t>https://x.com/bhavesh1129/status/2046219075031076884</t>
  </si>
  <si>
    <t>20/04/2026 19:06</t>
  </si>
  <si>
    <t>20/04/2026 18:57</t>
  </si>
  <si>
    <t>21/04/2026 12:29</t>
  </si>
  <si>
    <t>20/04/2026 22:11</t>
  </si>
  <si>
    <t>24/04/2026 19:33</t>
  </si>
  <si>
    <t>24/04/2026 19:10</t>
  </si>
  <si>
    <t>24/04/2026 22:53</t>
  </si>
  <si>
    <t>30/04/2026 19:10</t>
  </si>
  <si>
    <t>https://x.com/CA_Mohit_Jindal/status/2046189494593077336</t>
  </si>
  <si>
    <t>20/04/2026 17:37</t>
  </si>
  <si>
    <t>22/04/2026 08:47</t>
  </si>
  <si>
    <t>https://x.com/MehtaShriyansh/status/2046184265323536854</t>
  </si>
  <si>
    <t>20/04/2026 16:38</t>
  </si>
  <si>
    <t>20/04/2026 16:41</t>
  </si>
  <si>
    <t>20/04/2026 16:49</t>
  </si>
  <si>
    <t>https://x.com/raviarora24/status/2046157798891982963</t>
  </si>
  <si>
    <t>20/04/2026 14:53</t>
  </si>
  <si>
    <t>20/04/2026 15:00</t>
  </si>
  <si>
    <t>20/04/2026 16:42</t>
  </si>
  <si>
    <t>https://x.com/mmislam93/status/2046051317370814969</t>
  </si>
  <si>
    <t>20/04/2026 07:50</t>
  </si>
  <si>
    <t>https://x.com/suraj_3007/status/2045894944762855848</t>
  </si>
  <si>
    <t>19/04/2026 21:29</t>
  </si>
  <si>
    <t>19/04/2026 22:13</t>
  </si>
  <si>
    <t>20/04/2026 00:12</t>
  </si>
  <si>
    <t>21/04/2026 00:44</t>
  </si>
  <si>
    <t>20/04/2026 00:51</t>
  </si>
  <si>
    <t>https://x.com/krishnan_sesh/status/2045887885178712451</t>
  </si>
  <si>
    <t>19/04/2026 21:00</t>
  </si>
  <si>
    <t>https://x.com/krishnan_sesh/status/2045884615827861826</t>
  </si>
  <si>
    <t>19/04/2026 20:47</t>
  </si>
  <si>
    <t>19/04/2026 21:11</t>
  </si>
  <si>
    <t>19/04/2026 22:39</t>
  </si>
  <si>
    <t>20/04/2026 13:59</t>
  </si>
  <si>
    <t>https://x.com/dindips/status/2045802077692273059</t>
  </si>
  <si>
    <t>19/04/2026 15:19</t>
  </si>
  <si>
    <t>19/04/2026 15:40</t>
  </si>
  <si>
    <t>https://x.com/SurajK1986/status/2045761893294604449</t>
  </si>
  <si>
    <t>19/04/2026 12:40</t>
  </si>
  <si>
    <t>19/04/2026 13:03</t>
  </si>
  <si>
    <t>https://x.com/Its_Me_NisRaj/status/2045746953137639774</t>
  </si>
  <si>
    <t>19/04/2026 11:40</t>
  </si>
  <si>
    <t>19/04/2026 16:39</t>
  </si>
  <si>
    <t>12/05/2026 19:41</t>
  </si>
  <si>
    <t>12/05/2026 19:19</t>
  </si>
  <si>
    <t>17/05/2026 10:44</t>
  </si>
  <si>
    <t>https://x.com/sharmanancy1111/status/2045448084726088118</t>
  </si>
  <si>
    <t>18/04/2026 15:53</t>
  </si>
  <si>
    <t>18/04/2026 15:56</t>
  </si>
  <si>
    <t>https://x.com/bhaskar_baldha/status/2045391022574965072</t>
  </si>
  <si>
    <t>18/04/2026 12:06</t>
  </si>
  <si>
    <t>https://x.com/ab4ajaybansal/status/2045385468418916393</t>
  </si>
  <si>
    <t>18/04/2026 11:49</t>
  </si>
  <si>
    <t>18/04/2026 12:00</t>
  </si>
  <si>
    <t>18/04/2026 12:13</t>
  </si>
  <si>
    <t>18/04/2026 14:25</t>
  </si>
  <si>
    <t>18/04/2026 14:50</t>
  </si>
  <si>
    <t>https://x.com/SpiderNo42/status/2045367153680056363</t>
  </si>
  <si>
    <t>18/04/2026 10:46</t>
  </si>
  <si>
    <t>20/04/2026 11:35</t>
  </si>
  <si>
    <t>https://x.com/anilmaddy26/status/2045366366375760300</t>
  </si>
  <si>
    <t>18/04/2026 10:28</t>
  </si>
  <si>
    <t>19/04/2026 01:04</t>
  </si>
  <si>
    <t>18/04/2026 10:40</t>
  </si>
  <si>
    <t>18/04/2026 10:41</t>
  </si>
  <si>
    <t>https://x.com/ysushil31/status/2045347547896812019</t>
  </si>
  <si>
    <t>18/04/2026 09:13</t>
  </si>
  <si>
    <t>18/04/2026 09:36</t>
  </si>
  <si>
    <t>19/04/2026 05:16</t>
  </si>
  <si>
    <t>19/04/2026 15:26</t>
  </si>
  <si>
    <t>20/04/2026 13:17</t>
  </si>
  <si>
    <t>19/04/2026 15:30</t>
  </si>
  <si>
    <t>22/04/2026 09:42</t>
  </si>
  <si>
    <t>29/04/2026 15:53</t>
  </si>
  <si>
    <t>29/04/2026 15:35</t>
  </si>
  <si>
    <t>29/04/2026 16:16</t>
  </si>
  <si>
    <t>https://x.com/naraykln/status/2045186353634451516</t>
  </si>
  <si>
    <t>17/04/2026 22:33</t>
  </si>
  <si>
    <t>17/04/2026 22:42</t>
  </si>
  <si>
    <t>https://x.com/vasankj1/status/2045099507374047321</t>
  </si>
  <si>
    <t>17/04/2026 16:48</t>
  </si>
  <si>
    <t>22/04/2026 09:35</t>
  </si>
  <si>
    <t>23/04/2026 13:19</t>
  </si>
  <si>
    <t>23/04/2026 13:46</t>
  </si>
  <si>
    <t>24/04/2026 22:12</t>
  </si>
  <si>
    <t>25/04/2026 08:36</t>
  </si>
  <si>
    <t>26/04/2026 10:56</t>
  </si>
  <si>
    <t>26/04/2026 11:00</t>
  </si>
  <si>
    <t>30/04/2026 00:41</t>
  </si>
  <si>
    <t>29/04/2026 16:00</t>
  </si>
  <si>
    <t>17/05/2026 09:16</t>
  </si>
  <si>
    <t>30/04/2026 15:59</t>
  </si>
  <si>
    <t>17/05/2026 17:37</t>
  </si>
  <si>
    <t>17/05/2026 08:37</t>
  </si>
  <si>
    <t>20/05/2026 12:31</t>
  </si>
  <si>
    <t>https://x.com/SharadC98335767/status/2045049137897656517</t>
  </si>
  <si>
    <t>17/04/2026 13:34</t>
  </si>
  <si>
    <t>17/04/2026 14:38</t>
  </si>
  <si>
    <t>17/04/2026 14:39</t>
  </si>
  <si>
    <t>18/04/2026 13:14</t>
  </si>
  <si>
    <t>19/04/2026 12:11</t>
  </si>
  <si>
    <t>19/04/2026 12:15</t>
  </si>
  <si>
    <t>20/04/2026 16:35</t>
  </si>
  <si>
    <t>https://x.com/KushalSawant26/status/2045020341886742636</t>
  </si>
  <si>
    <t>17/04/2026 11:47</t>
  </si>
  <si>
    <t>17/04/2026 12:29</t>
  </si>
  <si>
    <t>17/04/2026 12:47</t>
  </si>
  <si>
    <t>https://x.com/andy_53216/status/2044998961522684074</t>
  </si>
  <si>
    <t>17/04/2026 10:08</t>
  </si>
  <si>
    <t>https://x.com/ideamaker5/status/2044997221960294664</t>
  </si>
  <si>
    <t>17/04/2026 10:01</t>
  </si>
  <si>
    <t>17/04/2026 10:03</t>
  </si>
  <si>
    <t>19/04/2026 02:09</t>
  </si>
  <si>
    <t>https://x.com/hey_its_vishal/status/2044970668270420406</t>
  </si>
  <si>
    <t>17/04/2026 08:16</t>
  </si>
  <si>
    <t>17/04/2026 08:54</t>
  </si>
  <si>
    <t>17/04/2026 08:20</t>
  </si>
  <si>
    <t>17/04/2026 08:25</t>
  </si>
  <si>
    <t>17/04/2026 08:52</t>
  </si>
  <si>
    <t>17/04/2026 09:00</t>
  </si>
  <si>
    <t>17/04/2026 09:11</t>
  </si>
  <si>
    <t>25/04/2026 10:56</t>
  </si>
  <si>
    <t>25/04/2026 10:59</t>
  </si>
  <si>
    <t>https://x.com/surajkumar26213/status/2044950175488311764</t>
  </si>
  <si>
    <t>17/04/2026 06:54</t>
  </si>
  <si>
    <t>https://x.com/surajkumar26213/status/2044945661951676768</t>
  </si>
  <si>
    <t>17/04/2026 06:36</t>
  </si>
  <si>
    <t>17/04/2026 10:36</t>
  </si>
  <si>
    <t>https://x.com/jagadeesh010/status/2044805706768105743</t>
  </si>
  <si>
    <t>16/04/2026 21:20</t>
  </si>
  <si>
    <t>https://x.com/bhaskar_baldha/status/2044717622919651409</t>
  </si>
  <si>
    <t>16/04/2026 15:38</t>
  </si>
  <si>
    <t>16/04/2026 16:23</t>
  </si>
  <si>
    <t>https://x.com/bhaskar_baldha/status/2044717508201259369</t>
  </si>
  <si>
    <t>https://x.com/iamRathik/status/2044674719279198569</t>
  </si>
  <si>
    <t>16/04/2026 12:40</t>
  </si>
  <si>
    <t>16/04/2026 12:55</t>
  </si>
  <si>
    <t>16/04/2026 16:41</t>
  </si>
  <si>
    <t>https://x.com/LaVigilantOne/status/2044670577202618730</t>
  </si>
  <si>
    <t>16/04/2026 12:23</t>
  </si>
  <si>
    <t>16/04/2026 12:51</t>
  </si>
  <si>
    <t>https://x.com/shubhamgupta126/status/2044665787038994921</t>
  </si>
  <si>
    <t>16/04/2026 12:04</t>
  </si>
  <si>
    <t>16/04/2026 12:12</t>
  </si>
  <si>
    <t>16/04/2026 14:16</t>
  </si>
  <si>
    <t>17/04/2026 13:39</t>
  </si>
  <si>
    <t>16/04/2026 18:03</t>
  </si>
  <si>
    <t>18/04/2026 13:28</t>
  </si>
  <si>
    <t>https://x.com/mguhanm146/status/2044656056182460446</t>
  </si>
  <si>
    <t>16/04/2026 11:26</t>
  </si>
  <si>
    <t>16/04/2026 11:39</t>
  </si>
  <si>
    <t>https://x.com/Omnamohvasudev/status/2044427928067600701</t>
  </si>
  <si>
    <t>15/04/2026 20:19</t>
  </si>
  <si>
    <t>15/04/2026 20:21</t>
  </si>
  <si>
    <t>15/04/2026 20:44</t>
  </si>
  <si>
    <t>https://x.com/Omnamohvasudev/status/2044424019731230948</t>
  </si>
  <si>
    <t>15/04/2026 20:04</t>
  </si>
  <si>
    <t>15/04/2026 20:06</t>
  </si>
  <si>
    <t>https://x.com/drsavirgupta/status/2044406805733023882</t>
  </si>
  <si>
    <t>15/04/2026 18:55</t>
  </si>
  <si>
    <t>15/04/2026 19:31</t>
  </si>
  <si>
    <t>15/04/2026 18:59</t>
  </si>
  <si>
    <t>https://x.com/SurajBuiltThis/status/2044379847280255441</t>
  </si>
  <si>
    <t>15/04/2026 17:08</t>
  </si>
  <si>
    <t>15/04/2026 17:27</t>
  </si>
  <si>
    <t>15/04/2026 20:08</t>
  </si>
  <si>
    <t>Tata AIG General Insurance Co. Ltd.</t>
  </si>
  <si>
    <r>
      <rPr>
        <rFont val="Arial"/>
        <color rgb="FF000000"/>
        <sz val="9.0"/>
        <u/>
      </rPr>
      <t>https://x.com/JustMariner/status/2049423333385707774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</si>
  <si>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https://x.com/rohanbajaj2008/status/2049349591418712418</t>
    </r>
    <r>
      <rPr>
        <rFont val="Arial"/>
        <color rgb="FF000000"/>
        <sz val="9.0"/>
      </rPr>
      <t xml:space="preserve"> </t>
    </r>
  </si>
  <si>
    <t>29/04/2026 10:16</t>
  </si>
  <si>
    <t>29/04/2026 10:18</t>
  </si>
  <si>
    <t>05/05/2026 23:40</t>
  </si>
  <si>
    <t>06/05/2026 09:24</t>
  </si>
  <si>
    <r>
      <rPr>
        <rFont val="Arial"/>
        <color rgb="FF000000"/>
        <sz val="9.0"/>
        <u/>
      </rPr>
      <t>https://x.com/atulmishra70/status/2049099037971005931</t>
    </r>
    <r>
      <rPr>
        <rFont val="Arial"/>
        <color rgb="FF000000"/>
        <sz val="9.0"/>
      </rPr>
      <t xml:space="preserve"> </t>
    </r>
  </si>
  <si>
    <t>28/04/2026 17:45</t>
  </si>
  <si>
    <t>28/04/2026 17:51</t>
  </si>
  <si>
    <t>28/04/2026 17:56</t>
  </si>
  <si>
    <t>28/04/2026 18:00</t>
  </si>
  <si>
    <t>29/04/2026 10:35</t>
  </si>
  <si>
    <t>30/04/2026 23:09</t>
  </si>
  <si>
    <r>
      <rPr>
        <rFont val="Arial"/>
        <color rgb="FF000000"/>
        <sz val="9.0"/>
        <u/>
      </rPr>
      <t>https://x.com/seekabhas/status/2049055101906747684</t>
    </r>
    <r>
      <rPr>
        <rFont val="Arial"/>
        <color rgb="FF000000"/>
        <sz val="9.0"/>
      </rPr>
      <t xml:space="preserve"> </t>
    </r>
  </si>
  <si>
    <t>28/04/2026 14:46</t>
  </si>
  <si>
    <t>28/04/2026 15:01</t>
  </si>
  <si>
    <t>28/04/2026 21:02</t>
  </si>
  <si>
    <t>29/04/2026 15:02</t>
  </si>
  <si>
    <r>
      <rPr>
        <rFont val="Arial"/>
        <color rgb="FF000000"/>
        <sz val="9.0"/>
        <u/>
      </rPr>
      <t>https://x.com/akanand1982/status/2048600621943775407</t>
    </r>
    <r>
      <rPr>
        <rFont val="Arial"/>
        <color rgb="FF000000"/>
        <sz val="9.0"/>
      </rPr>
      <t xml:space="preserve"> </t>
    </r>
  </si>
  <si>
    <t>27/04/2026 08:40</t>
  </si>
  <si>
    <t>27/04/2026 08:42</t>
  </si>
  <si>
    <t>27/04/2026 14:42</t>
  </si>
  <si>
    <r>
      <rPr>
        <rFont val="Arial"/>
        <color rgb="FF000000"/>
        <sz val="9.0"/>
        <u/>
      </rPr>
      <t>https://x.com/sachin872000/status/2047943877076853021</t>
    </r>
    <r>
      <rPr>
        <rFont val="Arial"/>
        <color rgb="FF000000"/>
        <sz val="9.0"/>
      </rPr>
      <t xml:space="preserve"> </t>
    </r>
  </si>
  <si>
    <t>25/04/2026 13:10</t>
  </si>
  <si>
    <t>25/04/2026 13:13</t>
  </si>
  <si>
    <r>
      <rPr>
        <rFont val="Arial"/>
        <color rgb="FF000000"/>
        <sz val="9.0"/>
        <u/>
      </rPr>
      <t>https://x.com/sachin872000/status/2047676613475873107</t>
    </r>
    <r>
      <rPr>
        <rFont val="Arial"/>
        <color rgb="FF000000"/>
        <sz val="9.0"/>
      </rPr>
      <t xml:space="preserve"> </t>
    </r>
  </si>
  <si>
    <t>24/04/2026 19:28</t>
  </si>
  <si>
    <r>
      <rPr>
        <rFont val="Arial"/>
        <color rgb="FF000000"/>
        <sz val="9.0"/>
        <u/>
      </rPr>
      <t>https://x.com/libranme12/status/2047572520300400939</t>
    </r>
    <r>
      <rPr>
        <rFont val="Arial"/>
        <color rgb="FF000000"/>
        <sz val="9.0"/>
      </rPr>
      <t xml:space="preserve"> </t>
    </r>
  </si>
  <si>
    <t>24/04/2026 12:35</t>
  </si>
  <si>
    <t>24/04/2026 12:46</t>
  </si>
  <si>
    <t>27/04/2026 06:08</t>
  </si>
  <si>
    <r>
      <rPr>
        <rFont val="Arial"/>
        <color rgb="FF000000"/>
        <sz val="9.0"/>
        <u/>
      </rPr>
      <t>https://x.com/kvbksc/status/2047333657313157276</t>
    </r>
    <r>
      <rPr>
        <rFont val="Arial"/>
        <color rgb="FF000000"/>
        <sz val="9.0"/>
      </rPr>
      <t xml:space="preserve"> </t>
    </r>
  </si>
  <si>
    <t>23/04/2026 20:45</t>
  </si>
  <si>
    <t>23/04/2026 20:48</t>
  </si>
  <si>
    <t>23/04/2026 20:50</t>
  </si>
  <si>
    <t>23/04/2026 20:52</t>
  </si>
  <si>
    <t>24/04/2026 02:52</t>
  </si>
  <si>
    <t>24/04/2026 20:52</t>
  </si>
  <si>
    <r>
      <rPr>
        <rFont val="Arial"/>
        <color rgb="FF000000"/>
        <sz val="9.0"/>
        <u/>
      </rPr>
      <t>https://x.com/Jazbatiguy/status/2047250028289495395</t>
    </r>
    <r>
      <rPr>
        <rFont val="Arial"/>
        <color rgb="FF000000"/>
        <sz val="9.0"/>
      </rPr>
      <t xml:space="preserve"> </t>
    </r>
  </si>
  <si>
    <t>23/04/2026 15:13</t>
  </si>
  <si>
    <t>23/04/2026 15:15</t>
  </si>
  <si>
    <t>23/04/2026 16:05</t>
  </si>
  <si>
    <t>23/04/2026 16:07</t>
  </si>
  <si>
    <r>
      <rPr>
        <rFont val="Arial"/>
        <color rgb="FF000000"/>
        <sz val="9.0"/>
        <u/>
      </rPr>
      <t>https://x.com/rahulsingh611/status/2047232025493639243</t>
    </r>
    <r>
      <rPr>
        <rFont val="Arial"/>
        <color rgb="FF000000"/>
        <sz val="9.0"/>
      </rPr>
      <t xml:space="preserve"> </t>
    </r>
  </si>
  <si>
    <t>23/04/2026 14:02</t>
  </si>
  <si>
    <r>
      <rPr>
        <rFont val="Arial"/>
        <color rgb="FF000000"/>
        <sz val="9.0"/>
        <u/>
      </rPr>
      <t>https://x.com/sachin872000/status/2046959443653628068</t>
    </r>
    <r>
      <rPr>
        <rFont val="Arial"/>
        <color rgb="FF000000"/>
        <sz val="9.0"/>
      </rPr>
      <t xml:space="preserve"> </t>
    </r>
  </si>
  <si>
    <t>22/04/2026 19:58</t>
  </si>
  <si>
    <r>
      <rPr>
        <rFont val="Arial"/>
        <color rgb="FF000000"/>
        <sz val="9.0"/>
        <u/>
      </rPr>
      <t>https://x.com/Pankaj_Gusain03/status/2046859107412648353</t>
    </r>
    <r>
      <rPr>
        <rFont val="Arial"/>
        <color rgb="FF000000"/>
        <sz val="9.0"/>
      </rPr>
      <t xml:space="preserve"> </t>
    </r>
  </si>
  <si>
    <t>22/04/2026 13:20</t>
  </si>
  <si>
    <t>24/04/2026 15:54</t>
  </si>
  <si>
    <r>
      <rPr>
        <rFont val="Arial"/>
        <color rgb="FF000000"/>
        <sz val="9.0"/>
        <u/>
      </rPr>
      <t>https://x.com/sachin872000/status/2046591714862026811</t>
    </r>
    <r>
      <rPr>
        <rFont val="Arial"/>
        <color rgb="FF000000"/>
        <sz val="9.0"/>
      </rPr>
      <t xml:space="preserve"> </t>
    </r>
  </si>
  <si>
    <t>21/04/2026 19:37</t>
  </si>
  <si>
    <t>21/04/2026 19:41</t>
  </si>
  <si>
    <t>24/04/2026 13:00</t>
  </si>
  <si>
    <t>25/04/2026 13:32</t>
  </si>
  <si>
    <r>
      <rPr>
        <rFont val="Arial"/>
        <color rgb="FF000000"/>
        <sz val="9.0"/>
        <u/>
      </rPr>
      <t>https://x.com/IN_Common_Man/status/2046152003261468969</t>
    </r>
    <r>
      <rPr>
        <rFont val="Arial"/>
        <color rgb="FF000000"/>
        <sz val="9.0"/>
      </rPr>
      <t xml:space="preserve"> </t>
    </r>
  </si>
  <si>
    <t>20/04/2026 14:30</t>
  </si>
  <si>
    <t>20/04/2026 14:33</t>
  </si>
  <si>
    <t>20/04/2026 14:51</t>
  </si>
  <si>
    <t>20/04/2026 15:04</t>
  </si>
  <si>
    <r>
      <rPr>
        <rFont val="Arial"/>
        <color rgb="FF000000"/>
        <sz val="9.0"/>
        <u/>
      </rPr>
      <t>https://x.com/Oreomyboy444/status/2046071893976064367</t>
    </r>
    <r>
      <rPr>
        <rFont val="Arial"/>
        <color rgb="FF000000"/>
        <sz val="9.0"/>
      </rPr>
      <t xml:space="preserve"> </t>
    </r>
  </si>
  <si>
    <t>20/04/2026 09:12</t>
  </si>
  <si>
    <r>
      <rPr>
        <rFont val="Arial"/>
        <color rgb="FF000000"/>
        <sz val="9.0"/>
        <u/>
      </rPr>
      <t>https://x.com/bhargamit/status/2045820968250257412</t>
    </r>
    <r>
      <rPr>
        <rFont val="Arial"/>
        <color rgb="FF000000"/>
        <sz val="9.0"/>
      </rPr>
      <t xml:space="preserve"> </t>
    </r>
  </si>
  <si>
    <t>19/04/2026 16:35</t>
  </si>
  <si>
    <t>19/04/2026 16:41</t>
  </si>
  <si>
    <t>19/04/2026 17:09</t>
  </si>
  <si>
    <t>19/04/2026 17:13</t>
  </si>
  <si>
    <r>
      <rPr>
        <rFont val="Arial"/>
        <color rgb="FF000000"/>
        <sz val="9.0"/>
        <u/>
      </rPr>
      <t>https://x.com/JituRawal9/status/2045543934009688337</t>
    </r>
    <r>
      <rPr>
        <rFont val="Arial"/>
        <color rgb="FF000000"/>
        <sz val="9.0"/>
      </rPr>
      <t xml:space="preserve"> </t>
    </r>
  </si>
  <si>
    <t>18/04/2026 22:14</t>
  </si>
  <si>
    <t>18/04/2026 22:17</t>
  </si>
  <si>
    <t>18/04/2026 22:27</t>
  </si>
  <si>
    <t>20/04/2026 21:13</t>
  </si>
  <si>
    <r>
      <rPr>
        <rFont val="Arial"/>
        <color rgb="FF000000"/>
        <sz val="9.0"/>
        <u/>
      </rPr>
      <t>https://x.com/sunilagrawal15/status/2045488440138219603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</si>
  <si>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https://x.com/TheatrickP/status/2045456909688353231</t>
    </r>
    <r>
      <rPr>
        <rFont val="Arial"/>
        <color rgb="FF000000"/>
        <sz val="9.0"/>
      </rPr>
      <t xml:space="preserve"> </t>
    </r>
  </si>
  <si>
    <t>18/04/2026 16:28</t>
  </si>
  <si>
    <t>18/04/2026 16:32</t>
  </si>
  <si>
    <t>19/04/2026 16:32</t>
  </si>
  <si>
    <r>
      <rPr>
        <rFont val="Arial"/>
        <color rgb="FF000000"/>
        <sz val="9.0"/>
        <u/>
      </rPr>
      <t>https://x.com/UpadhyayNihar/status/2044040435518321006</t>
    </r>
    <r>
      <rPr>
        <rFont val="Arial"/>
        <color rgb="FF000000"/>
        <sz val="9.0"/>
      </rPr>
      <t xml:space="preserve"> </t>
    </r>
  </si>
  <si>
    <t>14/04/2026 18:39</t>
  </si>
  <si>
    <t>15/04/2026 09:58</t>
  </si>
  <si>
    <r>
      <rPr>
        <rFont val="Arial"/>
        <color rgb="FF000000"/>
        <sz val="9.0"/>
        <u/>
      </rPr>
      <t>https://x.com/poonamlashwani/status/2044031792488034532</t>
    </r>
    <r>
      <rPr>
        <rFont val="Arial"/>
        <color rgb="FF000000"/>
        <sz val="9.0"/>
      </rPr>
      <t xml:space="preserve"> </t>
    </r>
  </si>
  <si>
    <t>14/04/2026 18:05</t>
  </si>
  <si>
    <r>
      <rPr>
        <rFont val="Arial"/>
        <color rgb="FF000000"/>
        <sz val="9.0"/>
        <u/>
      </rPr>
      <t>https://x.com/JainJignesh/status/2043912562388185183</t>
    </r>
    <r>
      <rPr>
        <rFont val="Arial"/>
        <color rgb="FF000000"/>
        <sz val="9.0"/>
      </rPr>
      <t xml:space="preserve"> </t>
    </r>
  </si>
  <si>
    <t>14/04/2026 10:11</t>
  </si>
  <si>
    <t>14/04/2026 10:14</t>
  </si>
  <si>
    <r>
      <rPr>
        <rFont val="Arial"/>
        <color rgb="FF000000"/>
        <sz val="9.0"/>
        <u/>
      </rPr>
      <t>https://x.com/Deepak_Dips968/status/2043814201723105525</t>
    </r>
    <r>
      <rPr>
        <rFont val="Arial"/>
        <color rgb="FF000000"/>
        <sz val="9.0"/>
      </rPr>
      <t xml:space="preserve"> </t>
    </r>
  </si>
  <si>
    <t>14/04/2026 03:40</t>
  </si>
  <si>
    <t>14/04/2026 08:03</t>
  </si>
  <si>
    <t>14/04/2026 15:49</t>
  </si>
  <si>
    <t>16/04/2026 09:28</t>
  </si>
  <si>
    <r>
      <rPr>
        <rFont val="Arial"/>
        <color rgb="FF000000"/>
        <sz val="9.0"/>
        <u/>
      </rPr>
      <t>https://x.com/mohitsah20/status/2043644861841334485</t>
    </r>
    <r>
      <rPr>
        <rFont val="Arial"/>
        <color rgb="FF000000"/>
        <sz val="9.0"/>
      </rPr>
      <t xml:space="preserve"> </t>
    </r>
  </si>
  <si>
    <t>13/04/2026 16:27</t>
  </si>
  <si>
    <t>13/04/2026 16:30</t>
  </si>
  <si>
    <t>13/04/2026 22:30</t>
  </si>
  <si>
    <r>
      <rPr>
        <rFont val="Arial"/>
        <color rgb="FF000000"/>
        <sz val="9.0"/>
        <u/>
      </rPr>
      <t>https://x.com/mohitsah20/status/2043644599068238029</t>
    </r>
    <r>
      <rPr>
        <rFont val="Arial"/>
        <color rgb="FF000000"/>
        <sz val="9.0"/>
      </rPr>
      <t xml:space="preserve"> </t>
    </r>
  </si>
  <si>
    <t>13/04/2026 16:26</t>
  </si>
  <si>
    <r>
      <rPr>
        <rFont val="Arial"/>
        <color rgb="FF000000"/>
        <sz val="9.0"/>
        <u/>
      </rPr>
      <t>https://x.com/MANISHKUMAREr/status/2043634051450565065</t>
    </r>
    <r>
      <rPr>
        <rFont val="Arial"/>
        <color rgb="FF000000"/>
        <sz val="9.0"/>
      </rPr>
      <t xml:space="preserve"> </t>
    </r>
  </si>
  <si>
    <t>13/04/2026 15:45</t>
  </si>
  <si>
    <t>13/04/2026 23:42</t>
  </si>
  <si>
    <t>14/04/2026 05:42</t>
  </si>
  <si>
    <r>
      <rPr>
        <rFont val="Arial"/>
        <color rgb="FF000000"/>
        <sz val="9.0"/>
        <u/>
      </rPr>
      <t>https://x.com/sandyjat1947/status/2043556497763017111</t>
    </r>
    <r>
      <rPr>
        <rFont val="Arial"/>
        <color rgb="FF000000"/>
        <sz val="9.0"/>
      </rPr>
      <t xml:space="preserve"> </t>
    </r>
  </si>
  <si>
    <t>13/04/2026 10:36</t>
  </si>
  <si>
    <t>16/04/2026 09:37</t>
  </si>
  <si>
    <t>16/04/2026 23:49</t>
  </si>
  <si>
    <t>16/04/2026 23:53</t>
  </si>
  <si>
    <r>
      <rPr>
        <rFont val="Arial"/>
        <color rgb="FF000000"/>
        <sz val="9.0"/>
        <u/>
      </rPr>
      <t>https://x.com/praneettulshyan/status/2043514929861525741</t>
    </r>
    <r>
      <rPr>
        <rFont val="Arial"/>
        <color rgb="FF000000"/>
        <sz val="9.0"/>
      </rPr>
      <t xml:space="preserve"> </t>
    </r>
  </si>
  <si>
    <t>13/04/2026 07:51</t>
  </si>
  <si>
    <t>13/04/2026 08:01</t>
  </si>
  <si>
    <t>16/04/2026 09:44</t>
  </si>
  <si>
    <r>
      <rPr>
        <rFont val="Arial"/>
        <color rgb="FF000000"/>
        <sz val="9.0"/>
        <u/>
      </rPr>
      <t>https://x.com/amit_rocker/status/2042999021116277130</t>
    </r>
    <r>
      <rPr>
        <rFont val="Arial"/>
        <color rgb="FF000000"/>
        <sz val="9.0"/>
      </rPr>
      <t xml:space="preserve"> </t>
    </r>
  </si>
  <si>
    <t>11/04/2026 21:41</t>
  </si>
  <si>
    <t>11/04/2026 21:45</t>
  </si>
  <si>
    <t>11/04/2026 21:46</t>
  </si>
  <si>
    <t>13/04/2026 18:09</t>
  </si>
  <si>
    <t>13/04/2026 18:15</t>
  </si>
  <si>
    <t>16/04/2026 23:14</t>
  </si>
  <si>
    <t>15/04/2026 20:07</t>
  </si>
  <si>
    <t>16/04/2026 12:22</t>
  </si>
  <si>
    <t>16/04/2026 21:32</t>
  </si>
  <si>
    <t>17/04/2026 18:58</t>
  </si>
  <si>
    <t>17/04/2026 21:35</t>
  </si>
  <si>
    <r>
      <rPr>
        <rFont val="Arial"/>
        <color rgb="FF000000"/>
        <sz val="9.0"/>
        <u/>
      </rPr>
      <t>https://x.com/shrinath_prabhu/status/2042772960654823936</t>
    </r>
    <r>
      <rPr>
        <rFont val="Arial"/>
        <color rgb="FF000000"/>
        <sz val="9.0"/>
      </rPr>
      <t xml:space="preserve"> </t>
    </r>
  </si>
  <si>
    <t>11/04/2026 06:43</t>
  </si>
  <si>
    <t>11/04/2026 08:05</t>
  </si>
  <si>
    <t>11/04/2026 08:08</t>
  </si>
  <si>
    <t>11/04/2026 08:11</t>
  </si>
  <si>
    <r>
      <rPr>
        <rFont val="Arial"/>
        <color rgb="FF000000"/>
        <sz val="9.0"/>
        <u/>
      </rPr>
      <t>https://x.com/JainJignesh/status/2042263601994682435</t>
    </r>
    <r>
      <rPr>
        <rFont val="Arial"/>
        <color rgb="FF000000"/>
        <sz val="9.0"/>
      </rPr>
      <t xml:space="preserve"> </t>
    </r>
  </si>
  <si>
    <t>09/04/2026 20:59</t>
  </si>
  <si>
    <t>09/04/2026 21:03</t>
  </si>
  <si>
    <t>17/04/2026 11:09</t>
  </si>
  <si>
    <r>
      <rPr>
        <rFont val="Arial"/>
        <color rgb="FF000000"/>
        <sz val="9.0"/>
        <u/>
      </rPr>
      <t>https://x.com/sanjaypoddar67/status/2041493825307476003</t>
    </r>
    <r>
      <rPr>
        <rFont val="Arial"/>
        <color rgb="FF000000"/>
        <sz val="9.0"/>
      </rPr>
      <t xml:space="preserve"> </t>
    </r>
  </si>
  <si>
    <t>07/04/2026 18:00</t>
  </si>
  <si>
    <r>
      <rPr>
        <rFont val="Arial"/>
        <color rgb="FF000000"/>
        <sz val="9.0"/>
        <u/>
      </rPr>
      <t>https://x.com/sanjaypoddar67/status/2040874452423160210</t>
    </r>
    <r>
      <rPr>
        <rFont val="Arial"/>
        <color rgb="FF000000"/>
        <sz val="9.0"/>
      </rPr>
      <t xml:space="preserve"> </t>
    </r>
  </si>
  <si>
    <t>06/04/2026 00:59</t>
  </si>
  <si>
    <t>06/04/2026 08:02</t>
  </si>
  <si>
    <t>06/04/2026 17:36</t>
  </si>
  <si>
    <t>06/04/2026 17:42</t>
  </si>
  <si>
    <t>07/04/2026 16:10</t>
  </si>
  <si>
    <t>07/04/2026 17:10</t>
  </si>
  <si>
    <t>07/04/2026 17:55</t>
  </si>
  <si>
    <r>
      <rPr>
        <rFont val="Arial"/>
        <color rgb="FF000000"/>
        <sz val="9.0"/>
        <u/>
      </rPr>
      <t>https://x.com/jai_warsaw/status/2040457702233813443</t>
    </r>
    <r>
      <rPr>
        <rFont val="Arial"/>
        <color rgb="FF000000"/>
        <sz val="9.0"/>
      </rPr>
      <t xml:space="preserve"> </t>
    </r>
  </si>
  <si>
    <t>04/04/2026 21:23</t>
  </si>
  <si>
    <t>04/04/2026 21:32</t>
  </si>
  <si>
    <t>04/04/2026 21:24</t>
  </si>
  <si>
    <t>10/04/2026 08:21</t>
  </si>
  <si>
    <t>05/04/2026 14:01</t>
  </si>
  <si>
    <t>06/04/2026 10:19</t>
  </si>
  <si>
    <t>06/04/2026 10:20</t>
  </si>
  <si>
    <r>
      <rPr>
        <rFont val="Arial"/>
        <color rgb="FF000000"/>
        <sz val="9.0"/>
        <u/>
      </rPr>
      <t>https://x.com/DeadPirateRIP/status/2040041462713475271</t>
    </r>
    <r>
      <rPr>
        <rFont val="Arial"/>
        <color rgb="FF000000"/>
        <sz val="9.0"/>
      </rPr>
      <t xml:space="preserve"> </t>
    </r>
  </si>
  <si>
    <t>03/04/2026 17:49</t>
  </si>
  <si>
    <r>
      <rPr>
        <rFont val="Arial"/>
        <color rgb="FF000000"/>
        <sz val="9.0"/>
        <u/>
      </rPr>
      <t>https://x.com/anujmehtaa/status/2039985217226870856</t>
    </r>
    <r>
      <rPr>
        <rFont val="Arial"/>
        <color rgb="FF000000"/>
        <sz val="9.0"/>
      </rPr>
      <t xml:space="preserve"> </t>
    </r>
  </si>
  <si>
    <t>03/04/2026 14:05</t>
  </si>
  <si>
    <t>04/04/2026 08:18</t>
  </si>
  <si>
    <r>
      <rPr>
        <rFont val="Arial"/>
        <color rgb="FF000000"/>
        <sz val="9.0"/>
        <u/>
      </rPr>
      <t>https://x.com/Tosharanjansahu/status/2039971765007556988</t>
    </r>
    <r>
      <rPr>
        <rFont val="Arial"/>
        <color rgb="FF000000"/>
        <sz val="9.0"/>
      </rPr>
      <t xml:space="preserve"> </t>
    </r>
  </si>
  <si>
    <t>03/04/2026 13:12</t>
  </si>
  <si>
    <t>04/04/2026 08:19</t>
  </si>
  <si>
    <t>04/04/2026 17:19</t>
  </si>
  <si>
    <t>05/04/2026 21:25</t>
  </si>
  <si>
    <t>08/04/2026 21:15</t>
  </si>
  <si>
    <r>
      <rPr>
        <rFont val="Arial"/>
        <color rgb="FF000000"/>
        <sz val="9.0"/>
        <u/>
      </rPr>
      <t>https://x.com/JonSnow717491/status/2039262308183265713</t>
    </r>
    <r>
      <rPr>
        <rFont val="Arial"/>
        <color rgb="FF000000"/>
        <sz val="9.0"/>
      </rPr>
      <t xml:space="preserve"> </t>
    </r>
  </si>
  <si>
    <t>01/04/2026 14:13</t>
  </si>
  <si>
    <r>
      <rPr>
        <rFont val="Arial"/>
        <color rgb="FF000000"/>
        <sz val="9.0"/>
        <u/>
      </rPr>
      <t>https://x.com/cmkiran/status/2039212802624323908</t>
    </r>
    <r>
      <rPr>
        <rFont val="Arial"/>
        <color rgb="FF000000"/>
        <sz val="9.0"/>
      </rPr>
      <t xml:space="preserve"> </t>
    </r>
  </si>
  <si>
    <t>01/04/2026 10:56</t>
  </si>
  <si>
    <t>01/04/2026 11:00</t>
  </si>
  <si>
    <t>01/04/2026 17:00</t>
  </si>
  <si>
    <t>02/04/2026 12:42</t>
  </si>
  <si>
    <t>United India Insurance Co. Ltd.</t>
  </si>
  <si>
    <r>
      <rPr>
        <rFont val="Arial"/>
        <color rgb="FF000000"/>
        <sz val="9.0"/>
        <u/>
      </rPr>
      <t>https://x.com/MUKESHKRSAHUBPS/status/2049497187420450837</t>
    </r>
    <r>
      <rPr>
        <rFont val="Arial"/>
        <color rgb="FF000000"/>
        <sz val="9.0"/>
      </rPr>
      <t xml:space="preserve"> </t>
    </r>
  </si>
  <si>
    <t>29/04/2026 20:03</t>
  </si>
  <si>
    <t>29/04/2026 21:39</t>
  </si>
  <si>
    <r>
      <rPr>
        <rFont val="Arial"/>
        <color rgb="FF000000"/>
        <sz val="9.0"/>
        <u/>
      </rPr>
      <t>https://x.com/rajasthaniunt/status/2049482343703081047</t>
    </r>
    <r>
      <rPr>
        <rFont val="Arial"/>
        <color rgb="FF000000"/>
        <sz val="9.0"/>
      </rPr>
      <t xml:space="preserve"> </t>
    </r>
  </si>
  <si>
    <t>29/04/2026 19:04</t>
  </si>
  <si>
    <r>
      <rPr>
        <rFont val="Arial"/>
        <color rgb="FF000000"/>
        <sz val="9.0"/>
        <u/>
      </rPr>
      <t>https://x.com/Walayatali19/status/2049449938007060927</t>
    </r>
    <r>
      <rPr>
        <rFont val="Arial"/>
        <color rgb="FF000000"/>
        <sz val="9.0"/>
      </rPr>
      <t xml:space="preserve"> </t>
    </r>
  </si>
  <si>
    <t>29/04/2026 16:55</t>
  </si>
  <si>
    <r>
      <rPr>
        <rFont val="Arial"/>
        <color rgb="FF000000"/>
        <sz val="9.0"/>
        <u/>
      </rPr>
      <t>https://x.com/sandipnahar19/status/2047532928406847940</t>
    </r>
    <r>
      <rPr>
        <rFont val="Arial"/>
        <color rgb="FF000000"/>
        <sz val="9.0"/>
      </rPr>
      <t xml:space="preserve"> </t>
    </r>
  </si>
  <si>
    <t>24/04/2026 09:57</t>
  </si>
  <si>
    <r>
      <rPr>
        <rFont val="Arial"/>
        <color rgb="FF000000"/>
        <sz val="9.0"/>
        <u/>
      </rPr>
      <t>https://x.com/MUKESHKRSAHUBPS/status/2047227423281074471</t>
    </r>
    <r>
      <rPr>
        <rFont val="Arial"/>
        <color rgb="FF000000"/>
        <sz val="9.0"/>
      </rPr>
      <t xml:space="preserve"> </t>
    </r>
  </si>
  <si>
    <t>23/04/2026 13:43</t>
  </si>
  <si>
    <r>
      <rPr>
        <rFont val="Arial"/>
        <color rgb="FF000000"/>
        <sz val="9.0"/>
        <u/>
      </rPr>
      <t>https://x.com/nishad_anjali/status/2046495915213738126</t>
    </r>
    <r>
      <rPr>
        <rFont val="Arial"/>
        <color rgb="FF000000"/>
        <sz val="9.0"/>
      </rPr>
      <t xml:space="preserve"> </t>
    </r>
  </si>
  <si>
    <t>21/04/2026 13:17</t>
  </si>
  <si>
    <r>
      <rPr>
        <rFont val="Arial"/>
        <color rgb="FF000000"/>
        <sz val="9.0"/>
        <u/>
      </rPr>
      <t>https://x.com/ZiaWins/status/2046153931424989544</t>
    </r>
    <r>
      <rPr>
        <rFont val="Arial"/>
        <color rgb="FF000000"/>
        <sz val="9.0"/>
      </rPr>
      <t xml:space="preserve"> </t>
    </r>
  </si>
  <si>
    <t>20/04/2026 14:38</t>
  </si>
  <si>
    <r>
      <rPr>
        <rFont val="Arial"/>
        <color rgb="FF000000"/>
        <sz val="9.0"/>
        <u/>
      </rPr>
      <t>https://x.com/kumaran43155040/status/2045396865001419158</t>
    </r>
    <r>
      <rPr>
        <rFont val="Arial"/>
        <color rgb="FF000000"/>
        <sz val="9.0"/>
      </rPr>
      <t xml:space="preserve"> </t>
    </r>
  </si>
  <si>
    <t>18/04/2026 12:29</t>
  </si>
  <si>
    <r>
      <rPr>
        <rFont val="Arial"/>
        <color rgb="FF000000"/>
        <sz val="9.0"/>
        <u/>
      </rPr>
      <t>https://x.com/PratykJain/status/2045124496542376206</t>
    </r>
    <r>
      <rPr>
        <rFont val="Arial"/>
        <color rgb="FF000000"/>
        <sz val="9.0"/>
      </rPr>
      <t xml:space="preserve"> </t>
    </r>
  </si>
  <si>
    <t>17/04/2026 18:27</t>
  </si>
  <si>
    <r>
      <rPr>
        <rFont val="Arial"/>
        <color rgb="FF000000"/>
        <sz val="9.0"/>
        <u/>
      </rPr>
      <t>https://x.com/SingheYellappa/status/2044965050579083487</t>
    </r>
    <r>
      <rPr>
        <rFont val="Arial"/>
        <color rgb="FF000000"/>
        <sz val="9.0"/>
      </rPr>
      <t xml:space="preserve"> </t>
    </r>
  </si>
  <si>
    <t>17/04/2026 07:53</t>
  </si>
  <si>
    <t>17/04/2026 07:54</t>
  </si>
  <si>
    <t>17/04/2026 07:58</t>
  </si>
  <si>
    <t>17/04/2026 08:01</t>
  </si>
  <si>
    <r>
      <rPr>
        <rFont val="Arial"/>
        <color rgb="FF000000"/>
        <sz val="9.0"/>
        <u/>
      </rPr>
      <t>https://x.com/YagneshGandhi/status/2044598167103222243</t>
    </r>
    <r>
      <rPr>
        <rFont val="Arial"/>
        <color rgb="FF000000"/>
        <sz val="9.0"/>
      </rPr>
      <t xml:space="preserve"> </t>
    </r>
  </si>
  <si>
    <t>16/04/2026 07:36</t>
  </si>
  <si>
    <r>
      <rPr>
        <rFont val="Arial"/>
        <color rgb="FF000000"/>
        <sz val="9.0"/>
        <u/>
      </rPr>
      <t>https://x.com/vlinet/status/2044324732468969512</t>
    </r>
    <r>
      <rPr>
        <rFont val="Arial"/>
        <color rgb="FF000000"/>
        <sz val="9.0"/>
      </rPr>
      <t xml:space="preserve"> </t>
    </r>
  </si>
  <si>
    <t>15/04/2026 13:29</t>
  </si>
  <si>
    <r>
      <rPr>
        <rFont val="Arial"/>
        <color rgb="FF000000"/>
        <sz val="9.0"/>
        <u/>
      </rPr>
      <t>https://x.com/MUKESHKRSAHUBPS/status/2044275594331074680</t>
    </r>
    <r>
      <rPr>
        <rFont val="Arial"/>
        <color rgb="FF000000"/>
        <sz val="9.0"/>
      </rPr>
      <t xml:space="preserve"> </t>
    </r>
  </si>
  <si>
    <t>15/04/2026 10:14</t>
  </si>
  <si>
    <t>15/04/2026 10:21</t>
  </si>
  <si>
    <t>16/04/2026 12:29</t>
  </si>
  <si>
    <r>
      <rPr>
        <rFont val="Arial"/>
        <color rgb="FF000000"/>
        <sz val="9.0"/>
        <u/>
      </rPr>
      <t>https://x.com/arun123ks/status/2043622804277661707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</si>
  <si>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https://x.com/SanalBaisil/status/2042096063948189853</t>
    </r>
    <r>
      <rPr>
        <rFont val="Arial"/>
        <color rgb="FF000000"/>
        <sz val="9.0"/>
      </rPr>
      <t xml:space="preserve"> </t>
    </r>
  </si>
  <si>
    <t>09/04/2026 09:53</t>
  </si>
  <si>
    <r>
      <rPr>
        <rFont val="Arial"/>
        <color rgb="FF000000"/>
        <sz val="9.0"/>
        <u/>
      </rPr>
      <t>https://x.com/hasnain72399825/status/2041559969909416324</t>
    </r>
    <r>
      <rPr>
        <rFont val="Arial"/>
        <color rgb="FF000000"/>
        <sz val="9.0"/>
      </rPr>
      <t xml:space="preserve"> </t>
    </r>
  </si>
  <si>
    <t>07/04/2026 22:23</t>
  </si>
  <si>
    <r>
      <rPr>
        <rFont val="Arial"/>
        <color rgb="FF000000"/>
        <sz val="9.0"/>
        <u/>
      </rPr>
      <t>https://x.com/Gautam_BV_News/status/2041522724192076284</t>
    </r>
    <r>
      <rPr>
        <rFont val="Arial"/>
        <color rgb="FF000000"/>
        <sz val="9.0"/>
      </rPr>
      <t xml:space="preserve"> </t>
    </r>
  </si>
  <si>
    <t>07/04/2026 19:55</t>
  </si>
  <si>
    <t>07/04/2026 20:00</t>
  </si>
  <si>
    <r>
      <rPr>
        <rFont val="Arial"/>
        <color rgb="FF000000"/>
        <sz val="9.0"/>
        <u/>
      </rPr>
      <t>https://x.com/iamsmg31/status/2041452751801217123</t>
    </r>
    <r>
      <rPr>
        <rFont val="Arial"/>
        <color rgb="FF000000"/>
        <sz val="9.0"/>
      </rPr>
      <t xml:space="preserve"> </t>
    </r>
  </si>
  <si>
    <t>07/04/2026 15:17</t>
  </si>
  <si>
    <r>
      <rPr>
        <rFont val="Arial"/>
        <color rgb="FF000000"/>
        <sz val="9.0"/>
        <u/>
      </rPr>
      <t>https://x.com/darmuzamil141/status/2040053302260649986</t>
    </r>
    <r>
      <rPr>
        <rFont val="Arial"/>
        <color rgb="FF000000"/>
        <sz val="9.0"/>
      </rPr>
      <t xml:space="preserve"> </t>
    </r>
  </si>
  <si>
    <r>
      <rPr>
        <rFont val="Arial"/>
        <color rgb="FF000000"/>
        <sz val="9.0"/>
        <u/>
      </rPr>
      <t>https://x.com/awkward_risk/status/2039612534781866237</t>
    </r>
    <r>
      <rPr>
        <rFont val="Arial"/>
        <color rgb="FF000000"/>
        <sz val="9.0"/>
      </rPr>
      <t xml:space="preserve"> </t>
    </r>
  </si>
  <si>
    <t>02/04/2026 13:24</t>
  </si>
  <si>
    <r>
      <rPr>
        <rFont val="Arial"/>
        <color rgb="FF000000"/>
        <sz val="9.0"/>
        <u/>
      </rPr>
      <t>https://x.com/amitwadkar4/status/2039228550151336084</t>
    </r>
    <r>
      <rPr>
        <rFont val="Arial"/>
        <color rgb="FF000000"/>
        <sz val="9.0"/>
      </rPr>
      <t xml:space="preserve"> </t>
    </r>
  </si>
  <si>
    <t>01/04/2026 11:59</t>
  </si>
  <si>
    <t>Universal Sompo General Insurance Co. Ltd.</t>
  </si>
  <si>
    <r>
      <rPr>
        <rFont val="Arial"/>
        <color rgb="FF000000"/>
        <sz val="9.0"/>
        <u/>
      </rPr>
      <t>https://x.com/Eccentric_Even/status/2048373162942103719</t>
    </r>
    <r>
      <rPr>
        <rFont val="Arial"/>
        <color rgb="FF000000"/>
        <sz val="9.0"/>
      </rPr>
      <t xml:space="preserve"> </t>
    </r>
  </si>
  <si>
    <t>26/04/2026 17:36</t>
  </si>
  <si>
    <r>
      <rPr>
        <rFont val="Arial"/>
        <color rgb="FF000000"/>
        <sz val="9.0"/>
        <u/>
      </rPr>
      <t>https://x.com/kunal_chandel/status/2044639916261572640</t>
    </r>
    <r>
      <rPr>
        <rFont val="Arial"/>
        <color rgb="FF000000"/>
        <sz val="9.0"/>
      </rPr>
      <t xml:space="preserve"> </t>
    </r>
  </si>
  <si>
    <t>16/04/2026 10:21</t>
  </si>
  <si>
    <t>16/04/2026 10:27</t>
  </si>
  <si>
    <t>16/04/2026 11:37</t>
  </si>
  <si>
    <t>16/04/2026 12:18</t>
  </si>
  <si>
    <t>21/04/2026 19:04</t>
  </si>
  <si>
    <t>28/04/2026 14:36</t>
  </si>
  <si>
    <t>11/05/2026 14:39</t>
  </si>
  <si>
    <r>
      <rPr>
        <rFont val="Arial"/>
        <color rgb="FF000000"/>
        <sz val="9.0"/>
        <u/>
      </rPr>
      <t>https://x.com/salimshah1212/status/2042511629804539910</t>
    </r>
    <r>
      <rPr>
        <rFont val="Arial"/>
        <color rgb="FF000000"/>
        <sz val="9.0"/>
      </rPr>
      <t xml:space="preserve"> </t>
    </r>
  </si>
  <si>
    <t>10/04/2026 13:24</t>
  </si>
  <si>
    <r>
      <rPr>
        <rFont val="Arial"/>
        <color rgb="FF000000"/>
        <sz val="9.0"/>
        <u/>
      </rPr>
      <t>https://x.com/salimshah1212/status/2042510414504952096</t>
    </r>
    <r>
      <rPr>
        <rFont val="Arial"/>
        <color rgb="FF000000"/>
        <sz val="9.0"/>
      </rPr>
      <t xml:space="preserve"> </t>
    </r>
  </si>
  <si>
    <t>10/04/2026 13:20</t>
  </si>
  <si>
    <r>
      <rPr>
        <rFont val="Arial"/>
        <color rgb="FF000000"/>
        <sz val="9.0"/>
        <u/>
      </rPr>
      <t>https://x.com/AshwaniPrdhan/status/2041707702758633928</t>
    </r>
    <r>
      <rPr>
        <rFont val="Arial"/>
        <color rgb="FF000000"/>
        <sz val="9.0"/>
      </rPr>
      <t xml:space="preserve"> </t>
    </r>
  </si>
  <si>
    <t>08/04/2026 08:10</t>
  </si>
  <si>
    <t>Zuno General Insurance Co. Ltd.</t>
  </si>
  <si>
    <r>
      <rPr>
        <rFont val="Arial"/>
        <color rgb="FF000000"/>
        <sz val="9.0"/>
        <u/>
      </rPr>
      <t>https://x.com/aaranyakwild/status/2048003686274863230</t>
    </r>
    <r>
      <rPr>
        <rFont val="Arial"/>
        <color rgb="FF000000"/>
        <sz val="9.0"/>
      </rPr>
      <t xml:space="preserve"> </t>
    </r>
  </si>
  <si>
    <t>25/04/2026 17:08</t>
  </si>
  <si>
    <t>27/04/2026 10:59</t>
  </si>
  <si>
    <t>27/04/2026 21:08</t>
  </si>
  <si>
    <t>28/04/2026 10:32</t>
  </si>
  <si>
    <t>29/04/2026 17:17</t>
  </si>
  <si>
    <r>
      <rPr>
        <rFont val="Arial"/>
        <color rgb="FF000000"/>
        <sz val="9.0"/>
        <u/>
      </rPr>
      <t>https://x.com/hi_zuno/status/2042564054221492258</t>
    </r>
    <r>
      <rPr>
        <rFont val="Arial"/>
        <color rgb="FF000000"/>
        <sz val="9.0"/>
      </rPr>
      <t xml:space="preserve"> </t>
    </r>
  </si>
  <si>
    <t>10/04/2026 16:53</t>
  </si>
  <si>
    <r>
      <rPr>
        <rFont val="Arial"/>
        <color rgb="FF000000"/>
        <sz val="9.0"/>
        <u/>
      </rPr>
      <t>https://x.com/hi_zuno/status/2040021868565115267</t>
    </r>
    <r>
      <rPr>
        <rFont val="Arial"/>
        <color rgb="FF000000"/>
        <sz val="9.0"/>
      </rPr>
      <t xml:space="preserve"> </t>
    </r>
  </si>
  <si>
    <t>03/04/2026 16:31</t>
  </si>
  <si>
    <t>Zurich Kotak</t>
  </si>
  <si>
    <r>
      <rPr>
        <rFont val="Arial"/>
        <color rgb="FF000000"/>
        <sz val="9.0"/>
        <u/>
      </rPr>
      <t>https://x.com/spaharia13/status/2047561903875162534</t>
    </r>
    <r>
      <rPr>
        <rFont val="Arial"/>
        <color rgb="FF000000"/>
        <sz val="9.0"/>
      </rPr>
      <t xml:space="preserve"> </t>
    </r>
  </si>
  <si>
    <t>24/04/2026 11:52</t>
  </si>
  <si>
    <t>24/04/2026 11:55</t>
  </si>
  <si>
    <r>
      <rPr>
        <rFont val="Arial"/>
        <color rgb="FF000000"/>
        <sz val="9.0"/>
        <u/>
      </rPr>
      <t>https://x.com/jainjeetesh/status/2047188822228979888</t>
    </r>
    <r>
      <rPr>
        <rFont val="Arial"/>
        <color rgb="FF000000"/>
        <sz val="9.0"/>
      </rPr>
      <t xml:space="preserve"> </t>
    </r>
  </si>
  <si>
    <t>23/04/2026 11:14</t>
  </si>
  <si>
    <t>23/04/2026 11:21</t>
  </si>
  <si>
    <t>23/04/2026 12:49</t>
  </si>
  <si>
    <t>23/04/2026 13:18</t>
  </si>
  <si>
    <t>27/04/2026 11:38</t>
  </si>
  <si>
    <t>23/04/2026 17:24</t>
  </si>
  <si>
    <r>
      <rPr>
        <rFont val="Arial"/>
        <color rgb="FF000000"/>
        <sz val="9.0"/>
        <u/>
      </rPr>
      <t>https://x.com/Pulkitcoolhoney/status/2046968597298483579</t>
    </r>
    <r>
      <rPr>
        <rFont val="Arial"/>
        <color rgb="FF000000"/>
        <sz val="9.0"/>
      </rPr>
      <t xml:space="preserve"> </t>
    </r>
  </si>
  <si>
    <t>22/04/2026 20:35</t>
  </si>
  <si>
    <r>
      <rPr>
        <rFont val="Arial"/>
        <color rgb="FF000000"/>
        <sz val="9.0"/>
        <u/>
      </rPr>
      <t>https://x.com/Pulkitcoolhoney/status/2046967788947013965</t>
    </r>
    <r>
      <rPr>
        <rFont val="Arial"/>
        <color rgb="FF000000"/>
        <sz val="9.0"/>
      </rPr>
      <t xml:space="preserve"> </t>
    </r>
  </si>
  <si>
    <t>22/04/2026 20:32</t>
  </si>
  <si>
    <t>22/04/2026 20:36</t>
  </si>
  <si>
    <t>30/04/2026 13:05</t>
  </si>
  <si>
    <r>
      <rPr>
        <rFont val="Arial"/>
        <color rgb="FF000000"/>
        <sz val="9.0"/>
        <u/>
      </rPr>
      <t>https://x.com/KSharad9/status/2044710047352324335</t>
    </r>
    <r>
      <rPr>
        <rFont val="Arial"/>
        <color rgb="FF000000"/>
        <sz val="9.0"/>
      </rPr>
      <t xml:space="preserve"> </t>
    </r>
  </si>
  <si>
    <t>16/04/2026 15:00</t>
  </si>
  <si>
    <t>16/04/2026 15:04</t>
  </si>
  <si>
    <t>16/04/2026 15:51</t>
  </si>
  <si>
    <t>17/04/2026 13:20</t>
  </si>
  <si>
    <t>18/04/2026 10:08</t>
  </si>
  <si>
    <t>18/04/2026 10:36</t>
  </si>
  <si>
    <r>
      <rPr>
        <rFont val="Arial"/>
        <color rgb="FF000000"/>
        <sz val="9.0"/>
        <u/>
      </rPr>
      <t>https://x.com/Drsachin919/status/2042658830375621003</t>
    </r>
    <r>
      <rPr>
        <rFont val="Arial"/>
        <color rgb="FF000000"/>
        <sz val="9.0"/>
      </rPr>
      <t xml:space="preserve"> </t>
    </r>
  </si>
  <si>
    <t>10/04/2026 23:09</t>
  </si>
  <si>
    <t>11/04/2026 08:12</t>
  </si>
  <si>
    <t>15/04/2026 18:06</t>
  </si>
  <si>
    <r>
      <rPr>
        <rFont val="Arial"/>
        <color rgb="FF000000"/>
        <sz val="9.0"/>
        <u/>
      </rPr>
      <t>https://x.com/urvish_katara/status/2041859062443471275</t>
    </r>
    <r>
      <rPr>
        <rFont val="Arial"/>
        <color rgb="FF000000"/>
        <sz val="9.0"/>
      </rPr>
      <t xml:space="preserve"> </t>
    </r>
  </si>
  <si>
    <t>08/04/2026 18:11</t>
  </si>
  <si>
    <t>08/04/2026 18:17</t>
  </si>
  <si>
    <t>FRT less than 1 day
 (10)</t>
  </si>
  <si>
    <t>FRT &gt;1 Day &lt;3 days
 (5)</t>
  </si>
  <si>
    <t>FRT more than 3 days
 (-10)</t>
  </si>
  <si>
    <t>Shriram General Insurance Co. Ltd.</t>
  </si>
  <si>
    <r>
      <rPr>
        <rFont val="Arial"/>
        <color rgb="FF1155CC"/>
        <sz val="9.0"/>
        <u/>
      </rPr>
      <t>https://x.com/kkbishnoi9229/status/2044674464504512546</t>
    </r>
  </si>
  <si>
    <t>FRT &lt; 1 day : 10
 FRT = 1 to 3 days : 5
 FRT &gt; 3 days : -10</t>
  </si>
  <si>
    <r>
      <rPr>
        <rFont val="Arial"/>
        <color rgb="FF1155CC"/>
        <sz val="9.0"/>
        <u/>
      </rPr>
      <t>https://x.com/Fighter_sharma_/status/2046225053919191132</t>
    </r>
  </si>
  <si>
    <r>
      <rPr>
        <rFont val="Arial"/>
        <color rgb="FF1155CC"/>
        <sz val="9.0"/>
        <u/>
      </rPr>
      <t>https://x.com/kkbishnoi9229/status/2045003981500612690</t>
    </r>
  </si>
  <si>
    <t>National Insurance Co. Ltd.</t>
  </si>
  <si>
    <r>
      <rPr>
        <rFont val="Arial"/>
        <color rgb="FF000000"/>
        <sz val="9.0"/>
        <u/>
      </rPr>
      <t>https://x.com/azadadanoo/status/2042232264671781241</t>
    </r>
  </si>
  <si>
    <r>
      <rPr>
        <rFont val="Arial"/>
        <color rgb="FF000000"/>
        <sz val="9.0"/>
        <u/>
      </rPr>
      <t>https://x.com/riyasparihar/status/2043640321914061070</t>
    </r>
  </si>
  <si>
    <r>
      <rPr>
        <rFont val="Arial"/>
        <color rgb="FF000000"/>
        <sz val="9.0"/>
        <u/>
      </rPr>
      <t>https://x.com/GOPICHAND9823/status/2044016876666400836</t>
    </r>
  </si>
  <si>
    <r>
      <rPr>
        <rFont val="Arial"/>
        <color rgb="FF000000"/>
        <sz val="9.0"/>
        <u/>
      </rPr>
      <t>https://x.com/krishan982/status/2044394185156067531</t>
    </r>
  </si>
  <si>
    <r>
      <rPr>
        <rFont val="Arial"/>
        <color rgb="FF000000"/>
        <sz val="9.0"/>
        <u/>
      </rPr>
      <t>https://x.com/Chandra62840324/status/2045542334709088282</t>
    </r>
  </si>
  <si>
    <r>
      <rPr>
        <rFont val="Arial"/>
        <color rgb="FF000000"/>
        <sz val="9.0"/>
        <u/>
      </rPr>
      <t>https://x.com/molsha131/status/2047535435048800259</t>
    </r>
  </si>
  <si>
    <r>
      <rPr>
        <rFont val="Arial"/>
        <color rgb="FF000000"/>
        <sz val="9.0"/>
        <u/>
      </rPr>
      <t>https://x.com/pratiksuman29/status/2043003531377189296</t>
    </r>
  </si>
  <si>
    <r>
      <rPr>
        <rFont val="Arial"/>
        <color rgb="FF000000"/>
        <sz val="9.0"/>
        <u/>
      </rPr>
      <t>https://x.com/PRABODH22032972/status/2043005566856106478</t>
    </r>
  </si>
  <si>
    <r>
      <rPr>
        <rFont val="Arial"/>
        <color rgb="FF000000"/>
        <sz val="9.0"/>
        <u/>
      </rPr>
      <t>https://x.com/indori_dada/status/2044053048851607753</t>
    </r>
  </si>
  <si>
    <r>
      <rPr>
        <rFont val="Arial"/>
        <color rgb="FF000000"/>
        <sz val="9.0"/>
        <u/>
      </rPr>
      <t>https://x.com/indori_dada/status/2044026693581713520</t>
    </r>
  </si>
  <si>
    <r>
      <rPr>
        <rFont val="Arial"/>
        <color rgb="FF000000"/>
        <sz val="9.0"/>
        <u/>
      </rPr>
      <t>https://x.com/GOPICHAND9823/status/2044084964669698387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</si>
</sst>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dd/mm/yyyy hh:mm"/>
    <numFmt numFmtId="166" formatCode="dd/mm/yyyy hh:mm:ss"/>
  </numFmts>
  <fonts count="14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/>
    <font>
      <color theme="1"/>
      <name val="Calibri"/>
      <scheme val="minor"/>
    </font>
    <font>
      <b/>
      <sz val="9.0"/>
      <color rgb="FF000000"/>
      <name val="Arial"/>
    </font>
    <font>
      <sz val="9.0"/>
      <color rgb="FF000000"/>
      <name val="Arial"/>
    </font>
    <font>
      <u/>
      <sz val="9.0"/>
      <color rgb="FF000000"/>
      <name val="Arial"/>
    </font>
    <font>
      <sz val="10.0"/>
      <color theme="1"/>
      <name val="Nunito"/>
    </font>
    <font>
      <color rgb="FF000000"/>
      <name val="Calibri"/>
      <scheme val="minor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Border="1" applyFont="1"/>
    <xf borderId="1" fillId="0" fontId="5" numFmtId="0" xfId="0" applyBorder="1" applyFont="1"/>
    <xf borderId="1" fillId="0" fontId="5" numFmtId="164" xfId="0" applyBorder="1" applyFont="1" applyNumberFormat="1"/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5" fillId="0" fontId="7" numFmtId="165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0" fontId="10" numFmtId="0" xfId="0" applyFont="1"/>
    <xf borderId="5" fillId="0" fontId="7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5" fillId="0" fontId="7" numFmtId="166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1" fillId="0" fontId="6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1" fillId="0" fontId="7" numFmtId="165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" fillId="0" fontId="7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1" fillId="0" fontId="1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Jayasi_Kumar/status/2044137018343731214" TargetMode="External"/><Relationship Id="rId2" Type="http://schemas.openxmlformats.org/officeDocument/2006/relationships/hyperlink" Target="https://x.com/vagabond_sid/status/2041951770528903293" TargetMode="External"/><Relationship Id="rId3" Type="http://schemas.openxmlformats.org/officeDocument/2006/relationships/hyperlink" Target="https://x.com/bksatpathy/status/2040414897251799066" TargetMode="External"/><Relationship Id="rId4" Type="http://schemas.openxmlformats.org/officeDocument/2006/relationships/hyperlink" Target="https://x.com/bksatpathy/status/2040413785777905948" TargetMode="External"/><Relationship Id="rId5" Type="http://schemas.openxmlformats.org/officeDocument/2006/relationships/hyperlink" Target="https://x.com/Ashish452252851/status/2039957809601872314" TargetMode="External"/><Relationship Id="rId6" Type="http://schemas.openxmlformats.org/officeDocument/2006/relationships/hyperlink" Target="https://x.com/ITISDAB/status/2039617352992735539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SanjayYada7n/status/2040654951307935747" TargetMode="External"/><Relationship Id="rId20" Type="http://schemas.openxmlformats.org/officeDocument/2006/relationships/hyperlink" Target="https://x.com/wasimkhan1432/status/204575369855994274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x.com/anurag41091/status/2040051623251353880" TargetMode="External"/><Relationship Id="rId22" Type="http://schemas.openxmlformats.org/officeDocument/2006/relationships/hyperlink" Target="https://x.com/iam_vishwaraj/status/2045791774967292401" TargetMode="External"/><Relationship Id="rId21" Type="http://schemas.openxmlformats.org/officeDocument/2006/relationships/hyperlink" Target="https://x.com/lovys_world/status/2045858681322106912" TargetMode="External"/><Relationship Id="rId24" Type="http://schemas.openxmlformats.org/officeDocument/2006/relationships/hyperlink" Target="https://x.com/SarojKansabani1/status/2045562436535845010" TargetMode="External"/><Relationship Id="rId23" Type="http://schemas.openxmlformats.org/officeDocument/2006/relationships/hyperlink" Target="https://x.com/JankiNandan/status/2045780074247733450" TargetMode="External"/><Relationship Id="rId1" Type="http://schemas.openxmlformats.org/officeDocument/2006/relationships/hyperlink" Target="https://x.com/nikeshkataria11/status/2049466151739207935" TargetMode="External"/><Relationship Id="rId2" Type="http://schemas.openxmlformats.org/officeDocument/2006/relationships/hyperlink" Target="https://x.com/bizsprite/status/2049387169102590030" TargetMode="External"/><Relationship Id="rId3" Type="http://schemas.openxmlformats.org/officeDocument/2006/relationships/hyperlink" Target="https://x.com/gourab19964u/status/2049156027661390299" TargetMode="External"/><Relationship Id="rId4" Type="http://schemas.openxmlformats.org/officeDocument/2006/relationships/hyperlink" Target="https://x.com/AviPharmdesk/status/2048231783712567499" TargetMode="External"/><Relationship Id="rId9" Type="http://schemas.openxmlformats.org/officeDocument/2006/relationships/hyperlink" Target="https://x.com/prem48402915/status/2047680051987272059" TargetMode="External"/><Relationship Id="rId26" Type="http://schemas.openxmlformats.org/officeDocument/2006/relationships/hyperlink" Target="https://x.com/PursnaniSumit/status/2044690501119656098" TargetMode="External"/><Relationship Id="rId25" Type="http://schemas.openxmlformats.org/officeDocument/2006/relationships/hyperlink" Target="https://x.com/NilanjanSirkar/status/2044930095068918082" TargetMode="External"/><Relationship Id="rId28" Type="http://schemas.openxmlformats.org/officeDocument/2006/relationships/hyperlink" Target="https://x.com/CeShaik/status/2042847366387261833" TargetMode="External"/><Relationship Id="rId27" Type="http://schemas.openxmlformats.org/officeDocument/2006/relationships/hyperlink" Target="https://x.com/gingerngarlic88/status/2044319937490260452" TargetMode="External"/><Relationship Id="rId5" Type="http://schemas.openxmlformats.org/officeDocument/2006/relationships/hyperlink" Target="https://x.com/sumon_sanyal/status/2048066530756472891" TargetMode="External"/><Relationship Id="rId6" Type="http://schemas.openxmlformats.org/officeDocument/2006/relationships/hyperlink" Target="https://x.com/Manikkoduri/status/2048032132703146154" TargetMode="External"/><Relationship Id="rId29" Type="http://schemas.openxmlformats.org/officeDocument/2006/relationships/hyperlink" Target="https://x.com/skaagarwal/status/2042614426025808272" TargetMode="External"/><Relationship Id="rId7" Type="http://schemas.openxmlformats.org/officeDocument/2006/relationships/hyperlink" Target="https://x.com/wasimkhan1432/status/2047681741306130483" TargetMode="External"/><Relationship Id="rId8" Type="http://schemas.openxmlformats.org/officeDocument/2006/relationships/hyperlink" Target="https://x.com/wasimkhan1432/status/2047540282137444850" TargetMode="External"/><Relationship Id="rId31" Type="http://schemas.openxmlformats.org/officeDocument/2006/relationships/hyperlink" Target="https://x.com/parthapuri1/status/2042220025713737964" TargetMode="External"/><Relationship Id="rId30" Type="http://schemas.openxmlformats.org/officeDocument/2006/relationships/hyperlink" Target="https://x.com/parthapuri1/status/2042240059878109205" TargetMode="External"/><Relationship Id="rId11" Type="http://schemas.openxmlformats.org/officeDocument/2006/relationships/hyperlink" Target="https://x.com/wasimkhan1432/status/2047328033162535243" TargetMode="External"/><Relationship Id="rId33" Type="http://schemas.openxmlformats.org/officeDocument/2006/relationships/hyperlink" Target="https://x.com/ShikharKusswaha/status/2041554571756212321" TargetMode="External"/><Relationship Id="rId10" Type="http://schemas.openxmlformats.org/officeDocument/2006/relationships/hyperlink" Target="https://x.com/wasimkhan1432/status/2047540282137444850" TargetMode="External"/><Relationship Id="rId32" Type="http://schemas.openxmlformats.org/officeDocument/2006/relationships/hyperlink" Target="https://x.com/sidhupam77/status/2041911626010653017" TargetMode="External"/><Relationship Id="rId13" Type="http://schemas.openxmlformats.org/officeDocument/2006/relationships/hyperlink" Target="https://x.com/dravyaj1996/status/2047288556494963066" TargetMode="External"/><Relationship Id="rId35" Type="http://schemas.openxmlformats.org/officeDocument/2006/relationships/hyperlink" Target="https://x.com/anandmk036/status/2041342477668614583" TargetMode="External"/><Relationship Id="rId12" Type="http://schemas.openxmlformats.org/officeDocument/2006/relationships/hyperlink" Target="https://x.com/wasimkhan1432/status/2047327859153440951" TargetMode="External"/><Relationship Id="rId34" Type="http://schemas.openxmlformats.org/officeDocument/2006/relationships/hyperlink" Target="https://x.com/ShikharKusswaha/status/2041554446916968692" TargetMode="External"/><Relationship Id="rId15" Type="http://schemas.openxmlformats.org/officeDocument/2006/relationships/hyperlink" Target="https://x.com/me_divyansh/status/2046984276483473836" TargetMode="External"/><Relationship Id="rId37" Type="http://schemas.openxmlformats.org/officeDocument/2006/relationships/hyperlink" Target="https://x.com/vedantkhanduja/status/2040709284510773325" TargetMode="External"/><Relationship Id="rId14" Type="http://schemas.openxmlformats.org/officeDocument/2006/relationships/hyperlink" Target="https://x.com/apmspresident/status/2047168899880538410" TargetMode="External"/><Relationship Id="rId36" Type="http://schemas.openxmlformats.org/officeDocument/2006/relationships/hyperlink" Target="https://x.com/mozafarali/status/2041111325187944530" TargetMode="External"/><Relationship Id="rId17" Type="http://schemas.openxmlformats.org/officeDocument/2006/relationships/hyperlink" Target="https://x.com/anshulaman968/status/2046820201677943081" TargetMode="External"/><Relationship Id="rId39" Type="http://schemas.openxmlformats.org/officeDocument/2006/relationships/hyperlink" Target="https://x.com/NehaS671534/status/2040655801791263077" TargetMode="External"/><Relationship Id="rId16" Type="http://schemas.openxmlformats.org/officeDocument/2006/relationships/hyperlink" Target="https://x.com/apmspresident/status/2046944521649553690" TargetMode="External"/><Relationship Id="rId38" Type="http://schemas.openxmlformats.org/officeDocument/2006/relationships/hyperlink" Target="https://x.com/anurag41091/status/2040680102602920436" TargetMode="External"/><Relationship Id="rId19" Type="http://schemas.openxmlformats.org/officeDocument/2006/relationships/hyperlink" Target="https://x.com/wasimkhan1432/status/2046137781144141886" TargetMode="External"/><Relationship Id="rId18" Type="http://schemas.openxmlformats.org/officeDocument/2006/relationships/hyperlink" Target="https://x.com/apmspresident/status/2046457099803312385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djbeat2/status/2044396981490163993" TargetMode="External"/><Relationship Id="rId42" Type="http://schemas.openxmlformats.org/officeDocument/2006/relationships/hyperlink" Target="https://x.com/AaratiRhea/status/2044039363013816760" TargetMode="External"/><Relationship Id="rId41" Type="http://schemas.openxmlformats.org/officeDocument/2006/relationships/hyperlink" Target="https://x.com/sinvhal/status/2044048343828181393" TargetMode="External"/><Relationship Id="rId44" Type="http://schemas.openxmlformats.org/officeDocument/2006/relationships/hyperlink" Target="https://x.com/naishaldoshi/status/2043578365769400579" TargetMode="External"/><Relationship Id="rId43" Type="http://schemas.openxmlformats.org/officeDocument/2006/relationships/hyperlink" Target="https://x.com/DHARMENDRATOMA8/status/2043987826577158623" TargetMode="External"/><Relationship Id="rId46" Type="http://schemas.openxmlformats.org/officeDocument/2006/relationships/hyperlink" Target="https://x.com/abhisek96/status/2043534372918395330" TargetMode="External"/><Relationship Id="rId45" Type="http://schemas.openxmlformats.org/officeDocument/2006/relationships/hyperlink" Target="https://x.com/alokvashisth/status/2043556872549196077" TargetMode="External"/><Relationship Id="rId1" Type="http://schemas.openxmlformats.org/officeDocument/2006/relationships/hyperlink" Target="https://x.com/sinvhal/status/2049322414014898572" TargetMode="External"/><Relationship Id="rId2" Type="http://schemas.openxmlformats.org/officeDocument/2006/relationships/hyperlink" Target="https://x.com/sinvhal/status/2048981573769585073" TargetMode="External"/><Relationship Id="rId3" Type="http://schemas.openxmlformats.org/officeDocument/2006/relationships/hyperlink" Target="https://x.com/bajajgeneral/status/2048630772576538758" TargetMode="External"/><Relationship Id="rId4" Type="http://schemas.openxmlformats.org/officeDocument/2006/relationships/hyperlink" Target="https://x.com/SmMahapatro/status/2048738382965342715" TargetMode="External"/><Relationship Id="rId9" Type="http://schemas.openxmlformats.org/officeDocument/2006/relationships/hyperlink" Target="https://x.com/ChetanTweets999/status/2047538246989844809" TargetMode="External"/><Relationship Id="rId48" Type="http://schemas.openxmlformats.org/officeDocument/2006/relationships/hyperlink" Target="https://x.com/vjaswal414/status/2043033111794266188" TargetMode="External"/><Relationship Id="rId47" Type="http://schemas.openxmlformats.org/officeDocument/2006/relationships/hyperlink" Target="https://x.com/busy_mann/status/2043207221971210340" TargetMode="External"/><Relationship Id="rId49" Type="http://schemas.openxmlformats.org/officeDocument/2006/relationships/hyperlink" Target="https://x.com/sinvhal/status/2042997573955571844" TargetMode="External"/><Relationship Id="rId5" Type="http://schemas.openxmlformats.org/officeDocument/2006/relationships/hyperlink" Target="https://x.com/sinvhal/status/2048629698884927496" TargetMode="External"/><Relationship Id="rId6" Type="http://schemas.openxmlformats.org/officeDocument/2006/relationships/hyperlink" Target="https://x.com/bajajgeneral/status/2047522381145751859" TargetMode="External"/><Relationship Id="rId7" Type="http://schemas.openxmlformats.org/officeDocument/2006/relationships/hyperlink" Target="https://x.com/AnkkitaYadav/status/2047932357743898687" TargetMode="External"/><Relationship Id="rId8" Type="http://schemas.openxmlformats.org/officeDocument/2006/relationships/hyperlink" Target="https://x.com/vignesrahul/status/2047720630817312801" TargetMode="External"/><Relationship Id="rId31" Type="http://schemas.openxmlformats.org/officeDocument/2006/relationships/hyperlink" Target="https://x.com/bajajgeneral/status/2045130691848094057" TargetMode="External"/><Relationship Id="rId30" Type="http://schemas.openxmlformats.org/officeDocument/2006/relationships/hyperlink" Target="https://x.com/sinvhal/status/2045401557743948082" TargetMode="External"/><Relationship Id="rId33" Type="http://schemas.openxmlformats.org/officeDocument/2006/relationships/hyperlink" Target="https://x.com/ashuvoice/status/2045158388968108372" TargetMode="External"/><Relationship Id="rId32" Type="http://schemas.openxmlformats.org/officeDocument/2006/relationships/hyperlink" Target="https://x.com/nskelkar/status/2045375875320008773" TargetMode="External"/><Relationship Id="rId35" Type="http://schemas.openxmlformats.org/officeDocument/2006/relationships/hyperlink" Target="https://x.com/sinvhal/status/2045068102929674470" TargetMode="External"/><Relationship Id="rId34" Type="http://schemas.openxmlformats.org/officeDocument/2006/relationships/hyperlink" Target="https://x.com/amitbansalrss/status/2045074302824030530" TargetMode="External"/><Relationship Id="rId37" Type="http://schemas.openxmlformats.org/officeDocument/2006/relationships/hyperlink" Target="https://x.com/sinvhal/status/2044779552375992819" TargetMode="External"/><Relationship Id="rId36" Type="http://schemas.openxmlformats.org/officeDocument/2006/relationships/hyperlink" Target="https://x.com/bajajgeneral/status/2044781928453476437" TargetMode="External"/><Relationship Id="rId39" Type="http://schemas.openxmlformats.org/officeDocument/2006/relationships/hyperlink" Target="https://x.com/manishiet/status/2044755927908417660" TargetMode="External"/><Relationship Id="rId38" Type="http://schemas.openxmlformats.org/officeDocument/2006/relationships/hyperlink" Target="https://x.com/bajajgeneral/status/2044255635307733431" TargetMode="External"/><Relationship Id="rId62" Type="http://schemas.openxmlformats.org/officeDocument/2006/relationships/hyperlink" Target="https://x.com/garodia_/status/2039606951001415858" TargetMode="External"/><Relationship Id="rId61" Type="http://schemas.openxmlformats.org/officeDocument/2006/relationships/hyperlink" Target="https://x.com/OjasS94/status/2040009549542031370" TargetMode="External"/><Relationship Id="rId20" Type="http://schemas.openxmlformats.org/officeDocument/2006/relationships/hyperlink" Target="https://x.com/mady_sem/status/2046482174590046436" TargetMode="External"/><Relationship Id="rId64" Type="http://schemas.openxmlformats.org/officeDocument/2006/relationships/hyperlink" Target="https://x.com/sinvhal/status/2039231921558069472" TargetMode="External"/><Relationship Id="rId63" Type="http://schemas.openxmlformats.org/officeDocument/2006/relationships/hyperlink" Target="https://x.com/Prakash_P86/status/2039280494668648804" TargetMode="External"/><Relationship Id="rId22" Type="http://schemas.openxmlformats.org/officeDocument/2006/relationships/hyperlink" Target="https://x.com/pandey_rav9933/status/2046309196539527636" TargetMode="External"/><Relationship Id="rId21" Type="http://schemas.openxmlformats.org/officeDocument/2006/relationships/hyperlink" Target="https://x.com/amitbansalrss/status/2046462050998906917" TargetMode="External"/><Relationship Id="rId65" Type="http://schemas.openxmlformats.org/officeDocument/2006/relationships/drawing" Target="../drawings/drawing3.xml"/><Relationship Id="rId24" Type="http://schemas.openxmlformats.org/officeDocument/2006/relationships/hyperlink" Target="https://x.com/LappuM/status/2046189606690025948" TargetMode="External"/><Relationship Id="rId23" Type="http://schemas.openxmlformats.org/officeDocument/2006/relationships/hyperlink" Target="https://x.com/maheshneel/status/2046288874654282134" TargetMode="External"/><Relationship Id="rId60" Type="http://schemas.openxmlformats.org/officeDocument/2006/relationships/hyperlink" Target="https://x.com/bharatb65354321/status/2040043061510906187" TargetMode="External"/><Relationship Id="rId26" Type="http://schemas.openxmlformats.org/officeDocument/2006/relationships/hyperlink" Target="https://x.com/amitbansalrss/status/2045564337952362976" TargetMode="External"/><Relationship Id="rId25" Type="http://schemas.openxmlformats.org/officeDocument/2006/relationships/hyperlink" Target="https://x.com/amitbansalrss/status/2045738509399707899" TargetMode="External"/><Relationship Id="rId28" Type="http://schemas.openxmlformats.org/officeDocument/2006/relationships/hyperlink" Target="https://x.com/_kmldp/status/2045502679674388494" TargetMode="External"/><Relationship Id="rId27" Type="http://schemas.openxmlformats.org/officeDocument/2006/relationships/hyperlink" Target="https://x.com/amitbansalrss/status/2045563336184783302" TargetMode="External"/><Relationship Id="rId29" Type="http://schemas.openxmlformats.org/officeDocument/2006/relationships/hyperlink" Target="https://x.com/amitbansalrss/status/2045404765845348449" TargetMode="External"/><Relationship Id="rId51" Type="http://schemas.openxmlformats.org/officeDocument/2006/relationships/hyperlink" Target="https://x.com/manishiet/status/2042502586222481446" TargetMode="External"/><Relationship Id="rId50" Type="http://schemas.openxmlformats.org/officeDocument/2006/relationships/hyperlink" Target="https://x.com/RajatRekhi/status/2042834823090475069" TargetMode="External"/><Relationship Id="rId53" Type="http://schemas.openxmlformats.org/officeDocument/2006/relationships/hyperlink" Target="https://x.com/garodia_/status/2041509609991700931" TargetMode="External"/><Relationship Id="rId52" Type="http://schemas.openxmlformats.org/officeDocument/2006/relationships/hyperlink" Target="https://x.com/Dheeraj42901603/status/2041745457383403719" TargetMode="External"/><Relationship Id="rId11" Type="http://schemas.openxmlformats.org/officeDocument/2006/relationships/hyperlink" Target="https://x.com/bajajgeneral/status/2047167624203940312" TargetMode="External"/><Relationship Id="rId55" Type="http://schemas.openxmlformats.org/officeDocument/2006/relationships/hyperlink" Target="https://x.com/hemantoist/status/2040688369328632305" TargetMode="External"/><Relationship Id="rId10" Type="http://schemas.openxmlformats.org/officeDocument/2006/relationships/hyperlink" Target="https://x.com/sinvhal/status/2047517430428348760" TargetMode="External"/><Relationship Id="rId54" Type="http://schemas.openxmlformats.org/officeDocument/2006/relationships/hyperlink" Target="https://x.com/anish_0905/status/2040738636984193490" TargetMode="External"/><Relationship Id="rId13" Type="http://schemas.openxmlformats.org/officeDocument/2006/relationships/hyperlink" Target="https://x.com/sinvhal/status/2047165019549479373" TargetMode="External"/><Relationship Id="rId57" Type="http://schemas.openxmlformats.org/officeDocument/2006/relationships/hyperlink" Target="https://x.com/ManojMidha0603/status/2040365197966422250" TargetMode="External"/><Relationship Id="rId12" Type="http://schemas.openxmlformats.org/officeDocument/2006/relationships/hyperlink" Target="https://x.com/Atulg213/status/2047219407714472111" TargetMode="External"/><Relationship Id="rId56" Type="http://schemas.openxmlformats.org/officeDocument/2006/relationships/hyperlink" Target="https://x.com/swapnilgarud/status/2040487666563834079" TargetMode="External"/><Relationship Id="rId15" Type="http://schemas.openxmlformats.org/officeDocument/2006/relationships/hyperlink" Target="https://x.com/NayanPatel0508/status/2046924720466182563" TargetMode="External"/><Relationship Id="rId59" Type="http://schemas.openxmlformats.org/officeDocument/2006/relationships/hyperlink" Target="https://x.com/DrPagariya/status/2040317271449731504" TargetMode="External"/><Relationship Id="rId14" Type="http://schemas.openxmlformats.org/officeDocument/2006/relationships/hyperlink" Target="https://x.com/bajajgeneral/status/2046494530925720042" TargetMode="External"/><Relationship Id="rId58" Type="http://schemas.openxmlformats.org/officeDocument/2006/relationships/hyperlink" Target="https://x.com/sinvhal/status/2040359792414445697" TargetMode="External"/><Relationship Id="rId17" Type="http://schemas.openxmlformats.org/officeDocument/2006/relationships/hyperlink" Target="https://x.com/Steve_JDington/status/2046873096192430081" TargetMode="External"/><Relationship Id="rId16" Type="http://schemas.openxmlformats.org/officeDocument/2006/relationships/hyperlink" Target="https://x.com/kabirwalia17/status/2046889159680516461" TargetMode="External"/><Relationship Id="rId19" Type="http://schemas.openxmlformats.org/officeDocument/2006/relationships/hyperlink" Target="https://x.com/bajajgeneral/status/2045701696492552357" TargetMode="External"/><Relationship Id="rId18" Type="http://schemas.openxmlformats.org/officeDocument/2006/relationships/hyperlink" Target="https://x.com/sinvhal/status/204649285822052353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vineetminocha/status/2048325881622577247" TargetMode="External"/><Relationship Id="rId2" Type="http://schemas.openxmlformats.org/officeDocument/2006/relationships/hyperlink" Target="https://x.com/satyapal_123/status/2044815986764005869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Prem18969669/status/2046615132080676905" TargetMode="External"/><Relationship Id="rId2" Type="http://schemas.openxmlformats.org/officeDocument/2006/relationships/hyperlink" Target="https://x.com/AkelaAsbi/status/2046220186379034942" TargetMode="External"/><Relationship Id="rId3" Type="http://schemas.openxmlformats.org/officeDocument/2006/relationships/hyperlink" Target="https://x.com/AkelaAsbi/status/2046219683532358124" TargetMode="External"/><Relationship Id="rId4" Type="http://schemas.openxmlformats.org/officeDocument/2006/relationships/hyperlink" Target="https://x.com/AkelaAsbi/status/2046218933011874134" TargetMode="External"/><Relationship Id="rId5" Type="http://schemas.openxmlformats.org/officeDocument/2006/relationships/hyperlink" Target="https://x.com/BPriyakar/status/2045685304330457551" TargetMode="External"/><Relationship Id="rId6" Type="http://schemas.openxmlformats.org/officeDocument/2006/relationships/hyperlink" Target="https://x.com/bharat_pan3/status/2043305000743649285" TargetMode="External"/><Relationship Id="rId7" Type="http://schemas.openxmlformats.org/officeDocument/2006/relationships/hyperlink" Target="https://x.com/bharat_pan3/status/2042854869317619993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balduwr/status/2049089606302511193" TargetMode="External"/><Relationship Id="rId2" Type="http://schemas.openxmlformats.org/officeDocument/2006/relationships/hyperlink" Target="https://x.com/DURGESH2PANDEY/status/2048812706460058028" TargetMode="External"/><Relationship Id="rId3" Type="http://schemas.openxmlformats.org/officeDocument/2006/relationships/hyperlink" Target="https://x.com/DURGESH2PANDEY/status/2048812482513473758" TargetMode="External"/><Relationship Id="rId4" Type="http://schemas.openxmlformats.org/officeDocument/2006/relationships/hyperlink" Target="https://x.com/mohitsriv08/status/2048124345202135415" TargetMode="External"/><Relationship Id="rId9" Type="http://schemas.openxmlformats.org/officeDocument/2006/relationships/hyperlink" Target="https://x.com/Kamesh_ti/status/2043640385474531378" TargetMode="External"/><Relationship Id="rId5" Type="http://schemas.openxmlformats.org/officeDocument/2006/relationships/hyperlink" Target="https://x.com/TariqAyyubi/status/2047280887147184485" TargetMode="External"/><Relationship Id="rId6" Type="http://schemas.openxmlformats.org/officeDocument/2006/relationships/hyperlink" Target="https://x.com/jaydeep3262/status/2046896313925869619" TargetMode="External"/><Relationship Id="rId7" Type="http://schemas.openxmlformats.org/officeDocument/2006/relationships/hyperlink" Target="https://x.com/giridhers/status/2045368008655405124" TargetMode="External"/><Relationship Id="rId8" Type="http://schemas.openxmlformats.org/officeDocument/2006/relationships/hyperlink" Target="https://x.com/BharathMorea/status/2044292582361182208" TargetMode="External"/><Relationship Id="rId11" Type="http://schemas.openxmlformats.org/officeDocument/2006/relationships/hyperlink" Target="https://x.com/ajay_boc/status/2042612340559139265" TargetMode="External"/><Relationship Id="rId10" Type="http://schemas.openxmlformats.org/officeDocument/2006/relationships/hyperlink" Target="https://x.com/digitalvj1008/status/2042950517740200215" TargetMode="External"/><Relationship Id="rId13" Type="http://schemas.openxmlformats.org/officeDocument/2006/relationships/hyperlink" Target="https://x.com/theManojMathew/status/2042217385227366606" TargetMode="External"/><Relationship Id="rId12" Type="http://schemas.openxmlformats.org/officeDocument/2006/relationships/hyperlink" Target="https://x.com/IAmShriyank/status/2042467660378882295" TargetMode="External"/><Relationship Id="rId15" Type="http://schemas.openxmlformats.org/officeDocument/2006/relationships/hyperlink" Target="https://x.com/hassanarif007/status/2040419646676033782" TargetMode="External"/><Relationship Id="rId14" Type="http://schemas.openxmlformats.org/officeDocument/2006/relationships/hyperlink" Target="https://x.com/shyam12b/status/2042133690852241876" TargetMode="External"/><Relationship Id="rId17" Type="http://schemas.openxmlformats.org/officeDocument/2006/relationships/hyperlink" Target="https://x.com/dass_nb/status/2039706122588950787" TargetMode="External"/><Relationship Id="rId16" Type="http://schemas.openxmlformats.org/officeDocument/2006/relationships/hyperlink" Target="https://x.com/Sharath85852559/status/2039773915011276972" TargetMode="External"/><Relationship Id="rId1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Sahilstillalive/status/2046788802782613663" TargetMode="External"/><Relationship Id="rId2" Type="http://schemas.openxmlformats.org/officeDocument/2006/relationships/hyperlink" Target="https://x.com/reachsoum/status/2041077819363717358" TargetMode="External"/><Relationship Id="rId3" Type="http://schemas.openxmlformats.org/officeDocument/2006/relationships/hyperlink" Target="https://x.com/guptajyoti10/status/2040705248403325366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deep_ch/status/2047529293014798531" TargetMode="External"/><Relationship Id="rId42" Type="http://schemas.openxmlformats.org/officeDocument/2006/relationships/hyperlink" Target="https://x.com/CMAPrasenjit/status/2047220553287938442" TargetMode="External"/><Relationship Id="rId41" Type="http://schemas.openxmlformats.org/officeDocument/2006/relationships/hyperlink" Target="https://x.com/viveksinghania0/status/2047236796069958067" TargetMode="External"/><Relationship Id="rId44" Type="http://schemas.openxmlformats.org/officeDocument/2006/relationships/hyperlink" Target="https://x.com/AjayKhemka13/status/2047187453203923164" TargetMode="External"/><Relationship Id="rId43" Type="http://schemas.openxmlformats.org/officeDocument/2006/relationships/hyperlink" Target="https://x.com/himanshuca212/status/2047204974233600433" TargetMode="External"/><Relationship Id="rId46" Type="http://schemas.openxmlformats.org/officeDocument/2006/relationships/hyperlink" Target="https://x.com/imrahul_neela/status/2046911057038610520" TargetMode="External"/><Relationship Id="rId45" Type="http://schemas.openxmlformats.org/officeDocument/2006/relationships/hyperlink" Target="https://x.com/SrikanthBhandar/status/2046919464302878908" TargetMode="External"/><Relationship Id="rId1" Type="http://schemas.openxmlformats.org/officeDocument/2006/relationships/hyperlink" Target="https://x.com/INDIASUPERF/status/2049436346142675388" TargetMode="External"/><Relationship Id="rId2" Type="http://schemas.openxmlformats.org/officeDocument/2006/relationships/hyperlink" Target="https://x.com/INDIASUPERF/status/2049435741789540462" TargetMode="External"/><Relationship Id="rId3" Type="http://schemas.openxmlformats.org/officeDocument/2006/relationships/hyperlink" Target="https://x.com/INDIASUPERF/status/2049429991709106493" TargetMode="External"/><Relationship Id="rId4" Type="http://schemas.openxmlformats.org/officeDocument/2006/relationships/hyperlink" Target="https://x.com/nikhiljondy/status/2049396563789987926" TargetMode="External"/><Relationship Id="rId9" Type="http://schemas.openxmlformats.org/officeDocument/2006/relationships/hyperlink" Target="https://x.com/nimittthegreat/status/2049115193129807902" TargetMode="External"/><Relationship Id="rId48" Type="http://schemas.openxmlformats.org/officeDocument/2006/relationships/hyperlink" Target="https://x.com/satenderachaud1/status/2046877250021360053" TargetMode="External"/><Relationship Id="rId47" Type="http://schemas.openxmlformats.org/officeDocument/2006/relationships/hyperlink" Target="https://x.com/killrinstinct/status/2046893785909764192" TargetMode="External"/><Relationship Id="rId49" Type="http://schemas.openxmlformats.org/officeDocument/2006/relationships/hyperlink" Target="https://x.com/SrikanthBhandar/status/2046871735736447242" TargetMode="External"/><Relationship Id="rId5" Type="http://schemas.openxmlformats.org/officeDocument/2006/relationships/hyperlink" Target="https://x.com/6968bd165ebd4b6/status/2049395723234689248" TargetMode="External"/><Relationship Id="rId6" Type="http://schemas.openxmlformats.org/officeDocument/2006/relationships/hyperlink" Target="https://x.com/gogiavaibhav/status/2049383958606229835" TargetMode="External"/><Relationship Id="rId7" Type="http://schemas.openxmlformats.org/officeDocument/2006/relationships/hyperlink" Target="https://x.com/Sameer097897041/status/2049375975310590017" TargetMode="External"/><Relationship Id="rId8" Type="http://schemas.openxmlformats.org/officeDocument/2006/relationships/hyperlink" Target="https://x.com/Bharatiya2047/status/2049115224041824512" TargetMode="External"/><Relationship Id="rId73" Type="http://schemas.openxmlformats.org/officeDocument/2006/relationships/hyperlink" Target="https://x.com/3may90/status/2044418923073093970" TargetMode="External"/><Relationship Id="rId72" Type="http://schemas.openxmlformats.org/officeDocument/2006/relationships/hyperlink" Target="https://x.com/CMAPrasenjit/status/2044613196334669985" TargetMode="External"/><Relationship Id="rId31" Type="http://schemas.openxmlformats.org/officeDocument/2006/relationships/hyperlink" Target="https://x.com/Thesiddhant20/status/2047991103253823673" TargetMode="External"/><Relationship Id="rId75" Type="http://schemas.openxmlformats.org/officeDocument/2006/relationships/hyperlink" Target="https://x.com/nitpawar/status/2044373020010328186" TargetMode="External"/><Relationship Id="rId30" Type="http://schemas.openxmlformats.org/officeDocument/2006/relationships/hyperlink" Target="https://x.com/Telugu_Indiann/status/2048152533437411573" TargetMode="External"/><Relationship Id="rId74" Type="http://schemas.openxmlformats.org/officeDocument/2006/relationships/hyperlink" Target="https://x.com/mohitofmid/status/2044417169342312643" TargetMode="External"/><Relationship Id="rId33" Type="http://schemas.openxmlformats.org/officeDocument/2006/relationships/hyperlink" Target="https://x.com/sachaikiduniya/status/2047723029640425957" TargetMode="External"/><Relationship Id="rId77" Type="http://schemas.openxmlformats.org/officeDocument/2006/relationships/hyperlink" Target="https://x.com/BhagatVbek/status/2044290436999860726" TargetMode="External"/><Relationship Id="rId32" Type="http://schemas.openxmlformats.org/officeDocument/2006/relationships/hyperlink" Target="https://x.com/AjayKhemka13/status/2047915756256624734" TargetMode="External"/><Relationship Id="rId76" Type="http://schemas.openxmlformats.org/officeDocument/2006/relationships/hyperlink" Target="https://x.com/santosh_bisht/status/2044297514363523502" TargetMode="External"/><Relationship Id="rId35" Type="http://schemas.openxmlformats.org/officeDocument/2006/relationships/hyperlink" Target="https://x.com/shikhar456/status/2047696162279592153" TargetMode="External"/><Relationship Id="rId34" Type="http://schemas.openxmlformats.org/officeDocument/2006/relationships/hyperlink" Target="https://x.com/GURMAILPANJETON/status/2047705063234433443" TargetMode="External"/><Relationship Id="rId78" Type="http://schemas.openxmlformats.org/officeDocument/2006/relationships/drawing" Target="../drawings/drawing8.xml"/><Relationship Id="rId71" Type="http://schemas.openxmlformats.org/officeDocument/2006/relationships/hyperlink" Target="https://x.com/income1607/status/2044629459027050540" TargetMode="External"/><Relationship Id="rId70" Type="http://schemas.openxmlformats.org/officeDocument/2006/relationships/hyperlink" Target="https://x.com/hiren281086/status/2044708378258346486" TargetMode="External"/><Relationship Id="rId37" Type="http://schemas.openxmlformats.org/officeDocument/2006/relationships/hyperlink" Target="https://x.com/iamSR1610/status/2047618210837795120" TargetMode="External"/><Relationship Id="rId36" Type="http://schemas.openxmlformats.org/officeDocument/2006/relationships/hyperlink" Target="https://x.com/santoshkummi/status/2047621166442131518" TargetMode="External"/><Relationship Id="rId39" Type="http://schemas.openxmlformats.org/officeDocument/2006/relationships/hyperlink" Target="https://x.com/Old_Basmati_75/status/2047540404606939350" TargetMode="External"/><Relationship Id="rId38" Type="http://schemas.openxmlformats.org/officeDocument/2006/relationships/hyperlink" Target="https://x.com/meaksoni/status/2047594349844959474" TargetMode="External"/><Relationship Id="rId62" Type="http://schemas.openxmlformats.org/officeDocument/2006/relationships/hyperlink" Target="https://x.com/manasie/status/2045104871624581354" TargetMode="External"/><Relationship Id="rId61" Type="http://schemas.openxmlformats.org/officeDocument/2006/relationships/hyperlink" Target="https://x.com/tarunjjw/status/2045358288116793646" TargetMode="External"/><Relationship Id="rId20" Type="http://schemas.openxmlformats.org/officeDocument/2006/relationships/hyperlink" Target="https://x.com/murali603/status/2048649370028114262" TargetMode="External"/><Relationship Id="rId64" Type="http://schemas.openxmlformats.org/officeDocument/2006/relationships/hyperlink" Target="https://x.com/IamRishabh_tw/status/2045086124436263167" TargetMode="External"/><Relationship Id="rId63" Type="http://schemas.openxmlformats.org/officeDocument/2006/relationships/hyperlink" Target="https://x.com/prshntdagar/status/2045093647738339662" TargetMode="External"/><Relationship Id="rId22" Type="http://schemas.openxmlformats.org/officeDocument/2006/relationships/hyperlink" Target="https://x.com/amitshaw_7/status/2048637403150385562" TargetMode="External"/><Relationship Id="rId66" Type="http://schemas.openxmlformats.org/officeDocument/2006/relationships/hyperlink" Target="https://x.com/Manoj23_07/status/2044918355988258947" TargetMode="External"/><Relationship Id="rId21" Type="http://schemas.openxmlformats.org/officeDocument/2006/relationships/hyperlink" Target="https://x.com/Ankitdugar30/status/2048649008512741715" TargetMode="External"/><Relationship Id="rId65" Type="http://schemas.openxmlformats.org/officeDocument/2006/relationships/hyperlink" Target="https://x.com/nitpawar/status/2045081135362044360" TargetMode="External"/><Relationship Id="rId24" Type="http://schemas.openxmlformats.org/officeDocument/2006/relationships/hyperlink" Target="https://x.com/6968bd165ebd4b6/status/2048604809436221901" TargetMode="External"/><Relationship Id="rId68" Type="http://schemas.openxmlformats.org/officeDocument/2006/relationships/hyperlink" Target="https://x.com/Siddhar01064660/status/2044794921119539350" TargetMode="External"/><Relationship Id="rId23" Type="http://schemas.openxmlformats.org/officeDocument/2006/relationships/hyperlink" Target="https://x.com/shivammdesai/status/2048620272681652682" TargetMode="External"/><Relationship Id="rId67" Type="http://schemas.openxmlformats.org/officeDocument/2006/relationships/hyperlink" Target="https://x.com/saltgen/status/2044798093112250580" TargetMode="External"/><Relationship Id="rId60" Type="http://schemas.openxmlformats.org/officeDocument/2006/relationships/hyperlink" Target="https://x.com/luckylaxa/status/2045490923946324457" TargetMode="External"/><Relationship Id="rId26" Type="http://schemas.openxmlformats.org/officeDocument/2006/relationships/hyperlink" Target="https://x.com/manalfarooquee/status/2048426096652382272" TargetMode="External"/><Relationship Id="rId25" Type="http://schemas.openxmlformats.org/officeDocument/2006/relationships/hyperlink" Target="https://x.com/iamSR1610/status/2048600894087090401" TargetMode="External"/><Relationship Id="rId69" Type="http://schemas.openxmlformats.org/officeDocument/2006/relationships/hyperlink" Target="https://x.com/SarveshSauravt/status/2044750228168044712" TargetMode="External"/><Relationship Id="rId28" Type="http://schemas.openxmlformats.org/officeDocument/2006/relationships/hyperlink" Target="https://x.com/MahendraVyhjo1/status/2048420406676406392" TargetMode="External"/><Relationship Id="rId27" Type="http://schemas.openxmlformats.org/officeDocument/2006/relationships/hyperlink" Target="https://x.com/vidhi_bhati/status/2048417339914506361" TargetMode="External"/><Relationship Id="rId29" Type="http://schemas.openxmlformats.org/officeDocument/2006/relationships/hyperlink" Target="https://x.com/AnuragS10207157/status/2048295979439575478" TargetMode="External"/><Relationship Id="rId51" Type="http://schemas.openxmlformats.org/officeDocument/2006/relationships/hyperlink" Target="https://x.com/sinhak_nilesh/status/2046831372359319567" TargetMode="External"/><Relationship Id="rId50" Type="http://schemas.openxmlformats.org/officeDocument/2006/relationships/hyperlink" Target="https://x.com/ChhitijBajpai/status/2046859854766334460" TargetMode="External"/><Relationship Id="rId53" Type="http://schemas.openxmlformats.org/officeDocument/2006/relationships/hyperlink" Target="https://x.com/panks2001/status/2046818077019631617" TargetMode="External"/><Relationship Id="rId52" Type="http://schemas.openxmlformats.org/officeDocument/2006/relationships/hyperlink" Target="https://x.com/MohitBediKiwi/status/2046829044143210942" TargetMode="External"/><Relationship Id="rId11" Type="http://schemas.openxmlformats.org/officeDocument/2006/relationships/hyperlink" Target="https://x.com/asureshkr/status/2049090156783931661" TargetMode="External"/><Relationship Id="rId55" Type="http://schemas.openxmlformats.org/officeDocument/2006/relationships/hyperlink" Target="https://x.com/imrahul_neela/status/2046527923814072502" TargetMode="External"/><Relationship Id="rId10" Type="http://schemas.openxmlformats.org/officeDocument/2006/relationships/hyperlink" Target="https://x.com/nimittthegreat/status/2049102626063802689" TargetMode="External"/><Relationship Id="rId54" Type="http://schemas.openxmlformats.org/officeDocument/2006/relationships/hyperlink" Target="https://x.com/imrahul_neela/status/2046553134349369480" TargetMode="External"/><Relationship Id="rId13" Type="http://schemas.openxmlformats.org/officeDocument/2006/relationships/hyperlink" Target="https://x.com/Sidd_Pati/status/2049018482847781196" TargetMode="External"/><Relationship Id="rId57" Type="http://schemas.openxmlformats.org/officeDocument/2006/relationships/hyperlink" Target="https://x.com/rajde6p/status/2046205626796388675" TargetMode="External"/><Relationship Id="rId12" Type="http://schemas.openxmlformats.org/officeDocument/2006/relationships/hyperlink" Target="https://x.com/Old_Basmati_75/status/2049039855930536219" TargetMode="External"/><Relationship Id="rId56" Type="http://schemas.openxmlformats.org/officeDocument/2006/relationships/hyperlink" Target="https://x.com/deep_ch/status/2046494625175851338" TargetMode="External"/><Relationship Id="rId15" Type="http://schemas.openxmlformats.org/officeDocument/2006/relationships/hyperlink" Target="https://x.com/t_bhattacharyya/status/2048992073756594647" TargetMode="External"/><Relationship Id="rId59" Type="http://schemas.openxmlformats.org/officeDocument/2006/relationships/hyperlink" Target="https://x.com/Dheeraj42901603/status/2045816915579576470" TargetMode="External"/><Relationship Id="rId14" Type="http://schemas.openxmlformats.org/officeDocument/2006/relationships/hyperlink" Target="https://x.com/ramangupta1958/status/2049001959777329206" TargetMode="External"/><Relationship Id="rId58" Type="http://schemas.openxmlformats.org/officeDocument/2006/relationships/hyperlink" Target="https://x.com/neeraj19a/status/2046142663620284872" TargetMode="External"/><Relationship Id="rId17" Type="http://schemas.openxmlformats.org/officeDocument/2006/relationships/hyperlink" Target="https://x.com/abhijain1977/status/2048762843659723114" TargetMode="External"/><Relationship Id="rId16" Type="http://schemas.openxmlformats.org/officeDocument/2006/relationships/hyperlink" Target="https://x.com/Nitinhacks/status/2048770646029775125" TargetMode="External"/><Relationship Id="rId19" Type="http://schemas.openxmlformats.org/officeDocument/2006/relationships/hyperlink" Target="https://x.com/ravindralahane1/status/2048704488736006144" TargetMode="External"/><Relationship Id="rId18" Type="http://schemas.openxmlformats.org/officeDocument/2006/relationships/hyperlink" Target="https://x.com/nissansari/status/2048735819360583723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sarcasticjeerer/status/2046138185080857073" TargetMode="External"/><Relationship Id="rId42" Type="http://schemas.openxmlformats.org/officeDocument/2006/relationships/hyperlink" Target="https://x.com/Vaishnav2Bharat/status/2046085892553802000" TargetMode="External"/><Relationship Id="rId41" Type="http://schemas.openxmlformats.org/officeDocument/2006/relationships/hyperlink" Target="https://x.com/prakhar_gaur/status/2046120678202741158" TargetMode="External"/><Relationship Id="rId44" Type="http://schemas.openxmlformats.org/officeDocument/2006/relationships/hyperlink" Target="https://x.com/RajaKumar947294/status/2045947313043255406" TargetMode="External"/><Relationship Id="rId43" Type="http://schemas.openxmlformats.org/officeDocument/2006/relationships/hyperlink" Target="https://x.com/TheSahu2/status/2046074699474784339" TargetMode="External"/><Relationship Id="rId46" Type="http://schemas.openxmlformats.org/officeDocument/2006/relationships/hyperlink" Target="https://x.com/amitesh_gayen/status/2045888266667524502" TargetMode="External"/><Relationship Id="rId45" Type="http://schemas.openxmlformats.org/officeDocument/2006/relationships/hyperlink" Target="https://x.com/RajaKumar947294/status/2042543860048629995" TargetMode="External"/><Relationship Id="rId1" Type="http://schemas.openxmlformats.org/officeDocument/2006/relationships/hyperlink" Target="https://x.com/shah_nandan1994/status/2049536419451052346" TargetMode="External"/><Relationship Id="rId2" Type="http://schemas.openxmlformats.org/officeDocument/2006/relationships/hyperlink" Target="https://x.com/imgite/status/2049460932192215223" TargetMode="External"/><Relationship Id="rId3" Type="http://schemas.openxmlformats.org/officeDocument/2006/relationships/hyperlink" Target="https://x.com/harshilpatel139/status/2049458125443653790" TargetMode="External"/><Relationship Id="rId4" Type="http://schemas.openxmlformats.org/officeDocument/2006/relationships/hyperlink" Target="https://x.com/Thetaurusgirl16/status/2049435928889073953" TargetMode="External"/><Relationship Id="rId9" Type="http://schemas.openxmlformats.org/officeDocument/2006/relationships/hyperlink" Target="https://x.com/B_alert_ji/status/2049086394786865416" TargetMode="External"/><Relationship Id="rId48" Type="http://schemas.openxmlformats.org/officeDocument/2006/relationships/hyperlink" Target="https://x.com/phoneylogics/status/2045744540867510583" TargetMode="External"/><Relationship Id="rId47" Type="http://schemas.openxmlformats.org/officeDocument/2006/relationships/hyperlink" Target="https://x.com/Rahulfgt0/status/2045871238103597443" TargetMode="External"/><Relationship Id="rId49" Type="http://schemas.openxmlformats.org/officeDocument/2006/relationships/hyperlink" Target="https://x.com/rijeshrajan0810/status/2045489736236851657" TargetMode="External"/><Relationship Id="rId5" Type="http://schemas.openxmlformats.org/officeDocument/2006/relationships/hyperlink" Target="https://x.com/Manish_Neon/status/2049428900514795690" TargetMode="External"/><Relationship Id="rId6" Type="http://schemas.openxmlformats.org/officeDocument/2006/relationships/hyperlink" Target="https://x.com/nirjharsingh3/status/2049327107202056557" TargetMode="External"/><Relationship Id="rId7" Type="http://schemas.openxmlformats.org/officeDocument/2006/relationships/hyperlink" Target="https://x.com/biswa4evr/status/2049174661502529826" TargetMode="External"/><Relationship Id="rId8" Type="http://schemas.openxmlformats.org/officeDocument/2006/relationships/hyperlink" Target="https://x.com/sunypd/status/2049105553507672532" TargetMode="External"/><Relationship Id="rId31" Type="http://schemas.openxmlformats.org/officeDocument/2006/relationships/hyperlink" Target="https://x.com/lokeshschauhan/status/2047182081223254195" TargetMode="External"/><Relationship Id="rId30" Type="http://schemas.openxmlformats.org/officeDocument/2006/relationships/hyperlink" Target="https://x.com/kumar3kailash/status/2047194909569122350" TargetMode="External"/><Relationship Id="rId33" Type="http://schemas.openxmlformats.org/officeDocument/2006/relationships/hyperlink" Target="https://x.com/satish_parchure/status/2046487909419856380" TargetMode="External"/><Relationship Id="rId32" Type="http://schemas.openxmlformats.org/officeDocument/2006/relationships/hyperlink" Target="https://x.com/VISHAL4995/status/2046988759871496551" TargetMode="External"/><Relationship Id="rId35" Type="http://schemas.openxmlformats.org/officeDocument/2006/relationships/hyperlink" Target="https://x.com/BeriwalaDe56699/status/2046433407274750202" TargetMode="External"/><Relationship Id="rId34" Type="http://schemas.openxmlformats.org/officeDocument/2006/relationships/hyperlink" Target="https://x.com/PrameyZode/status/2046457093935530015" TargetMode="External"/><Relationship Id="rId37" Type="http://schemas.openxmlformats.org/officeDocument/2006/relationships/hyperlink" Target="https://x.com/cdsksp/status/2046301955300180339" TargetMode="External"/><Relationship Id="rId36" Type="http://schemas.openxmlformats.org/officeDocument/2006/relationships/hyperlink" Target="https://x.com/DeepaRa78514154/status/2046392195671056836" TargetMode="External"/><Relationship Id="rId39" Type="http://schemas.openxmlformats.org/officeDocument/2006/relationships/hyperlink" Target="https://x.com/imNsheikh/status/2046233758396039175" TargetMode="External"/><Relationship Id="rId38" Type="http://schemas.openxmlformats.org/officeDocument/2006/relationships/hyperlink" Target="https://x.com/cdsksp/status/2046301797179162821" TargetMode="External"/><Relationship Id="rId62" Type="http://schemas.openxmlformats.org/officeDocument/2006/relationships/hyperlink" Target="https://x.com/I_am_Shikhaa/status/2044812457546588596" TargetMode="External"/><Relationship Id="rId61" Type="http://schemas.openxmlformats.org/officeDocument/2006/relationships/hyperlink" Target="https://x.com/KHANezaz96khan/status/2045020247816818957" TargetMode="External"/><Relationship Id="rId20" Type="http://schemas.openxmlformats.org/officeDocument/2006/relationships/hyperlink" Target="https://x.com/shiv_shantanu/status/2047963197760848142" TargetMode="External"/><Relationship Id="rId64" Type="http://schemas.openxmlformats.org/officeDocument/2006/relationships/hyperlink" Target="https://x.com/waseemahad/status/2044653289875337591" TargetMode="External"/><Relationship Id="rId63" Type="http://schemas.openxmlformats.org/officeDocument/2006/relationships/hyperlink" Target="https://x.com/subashvarmardrj/status/2044655494648971433" TargetMode="External"/><Relationship Id="rId22" Type="http://schemas.openxmlformats.org/officeDocument/2006/relationships/hyperlink" Target="https://x.com/ayanc97/status/2047885023349739889" TargetMode="External"/><Relationship Id="rId21" Type="http://schemas.openxmlformats.org/officeDocument/2006/relationships/hyperlink" Target="https://x.com/sarvanj/status/2047900325483590057" TargetMode="External"/><Relationship Id="rId65" Type="http://schemas.openxmlformats.org/officeDocument/2006/relationships/drawing" Target="../drawings/drawing9.xml"/><Relationship Id="rId24" Type="http://schemas.openxmlformats.org/officeDocument/2006/relationships/hyperlink" Target="https://x.com/k6472107/status/2047682474797662384" TargetMode="External"/><Relationship Id="rId23" Type="http://schemas.openxmlformats.org/officeDocument/2006/relationships/hyperlink" Target="https://x.com/Pavan36556891/status/2047740790651363337" TargetMode="External"/><Relationship Id="rId60" Type="http://schemas.openxmlformats.org/officeDocument/2006/relationships/hyperlink" Target="https://x.com/arz_elch91/status/2045027631406706760" TargetMode="External"/><Relationship Id="rId26" Type="http://schemas.openxmlformats.org/officeDocument/2006/relationships/hyperlink" Target="https://x.com/SahilMendirata/status/2047537219032993900" TargetMode="External"/><Relationship Id="rId25" Type="http://schemas.openxmlformats.org/officeDocument/2006/relationships/hyperlink" Target="https://x.com/ShivamG61933537/status/2047587653626056956" TargetMode="External"/><Relationship Id="rId28" Type="http://schemas.openxmlformats.org/officeDocument/2006/relationships/hyperlink" Target="https://x.com/kapilgandha/status/2047258846692098337" TargetMode="External"/><Relationship Id="rId27" Type="http://schemas.openxmlformats.org/officeDocument/2006/relationships/hyperlink" Target="https://x.com/AJAB2707/status/2047370027016536446" TargetMode="External"/><Relationship Id="rId29" Type="http://schemas.openxmlformats.org/officeDocument/2006/relationships/hyperlink" Target="https://x.com/Croww_things/status/2047255096967520368" TargetMode="External"/><Relationship Id="rId51" Type="http://schemas.openxmlformats.org/officeDocument/2006/relationships/hyperlink" Target="https://x.com/rishik_0/status/2045446112715342206" TargetMode="External"/><Relationship Id="rId50" Type="http://schemas.openxmlformats.org/officeDocument/2006/relationships/hyperlink" Target="https://x.com/anjali33183/status/2045453126824776113" TargetMode="External"/><Relationship Id="rId53" Type="http://schemas.openxmlformats.org/officeDocument/2006/relationships/hyperlink" Target="https://x.com/SAK00786/status/2045379273339638117" TargetMode="External"/><Relationship Id="rId52" Type="http://schemas.openxmlformats.org/officeDocument/2006/relationships/hyperlink" Target="https://x.com/adholicprashant/status/2045437159310778418" TargetMode="External"/><Relationship Id="rId11" Type="http://schemas.openxmlformats.org/officeDocument/2006/relationships/hyperlink" Target="https://x.com/shiv_shantanu/status/2048831205316186575" TargetMode="External"/><Relationship Id="rId55" Type="http://schemas.openxmlformats.org/officeDocument/2006/relationships/hyperlink" Target="https://x.com/BharatiyaVaari/status/2044023226557411492" TargetMode="External"/><Relationship Id="rId10" Type="http://schemas.openxmlformats.org/officeDocument/2006/relationships/hyperlink" Target="https://x.com/sidroy25260/status/2049060737511989401" TargetMode="External"/><Relationship Id="rId54" Type="http://schemas.openxmlformats.org/officeDocument/2006/relationships/hyperlink" Target="https://x.com/goswami_navneet/status/2045354319739023720" TargetMode="External"/><Relationship Id="rId13" Type="http://schemas.openxmlformats.org/officeDocument/2006/relationships/hyperlink" Target="https://x.com/rrameshbabu07/status/2048770712236904839" TargetMode="External"/><Relationship Id="rId57" Type="http://schemas.openxmlformats.org/officeDocument/2006/relationships/hyperlink" Target="https://x.com/nigamhimanshu/status/2045034903071555727" TargetMode="External"/><Relationship Id="rId12" Type="http://schemas.openxmlformats.org/officeDocument/2006/relationships/hyperlink" Target="https://x.com/ajitgurnani/status/2048785587537404142" TargetMode="External"/><Relationship Id="rId56" Type="http://schemas.openxmlformats.org/officeDocument/2006/relationships/hyperlink" Target="https://x.com/raj7rao/status/2045206104528073188" TargetMode="External"/><Relationship Id="rId15" Type="http://schemas.openxmlformats.org/officeDocument/2006/relationships/hyperlink" Target="https://x.com/jitesh_business/status/2048708545173172225" TargetMode="External"/><Relationship Id="rId59" Type="http://schemas.openxmlformats.org/officeDocument/2006/relationships/hyperlink" Target="https://x.com/KHANezaz96khan/status/2045031036070051874" TargetMode="External"/><Relationship Id="rId14" Type="http://schemas.openxmlformats.org/officeDocument/2006/relationships/hyperlink" Target="https://x.com/IamtheVaibhavD/status/2048765365484974326" TargetMode="External"/><Relationship Id="rId58" Type="http://schemas.openxmlformats.org/officeDocument/2006/relationships/hyperlink" Target="https://x.com/themanojverma/status/2045032820461228183" TargetMode="External"/><Relationship Id="rId17" Type="http://schemas.openxmlformats.org/officeDocument/2006/relationships/hyperlink" Target="https://x.com/abusalem907/status/2048382145878802650" TargetMode="External"/><Relationship Id="rId16" Type="http://schemas.openxmlformats.org/officeDocument/2006/relationships/hyperlink" Target="https://x.com/LeekhaVarun/status/2048669505073922280" TargetMode="External"/><Relationship Id="rId19" Type="http://schemas.openxmlformats.org/officeDocument/2006/relationships/hyperlink" Target="https://x.com/Vinodrock14/status/2048343341876777043" TargetMode="External"/><Relationship Id="rId18" Type="http://schemas.openxmlformats.org/officeDocument/2006/relationships/hyperlink" Target="https://x.com/nrk771/status/204836115967034579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i_am_Gouravvv/status/2048827699502911591" TargetMode="External"/><Relationship Id="rId2" Type="http://schemas.openxmlformats.org/officeDocument/2006/relationships/hyperlink" Target="https://x.com/rajsekar1009/status/2044376596224876795" TargetMode="External"/><Relationship Id="rId3" Type="http://schemas.openxmlformats.org/officeDocument/2006/relationships/hyperlink" Target="https://x.com/sukhi88/status/2043933994635632946" TargetMode="External"/><Relationship Id="rId4" Type="http://schemas.openxmlformats.org/officeDocument/2006/relationships/hyperlink" Target="https://x.com/prabhat44806954/status/2042832845752930343" TargetMode="External"/><Relationship Id="rId5" Type="http://schemas.openxmlformats.org/officeDocument/2006/relationships/hyperlink" Target="https://x.com/Chittesh/status/2040303524769382760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x.com/TarunGupta01239/status/2049419586962137188" TargetMode="External"/><Relationship Id="rId3" Type="http://schemas.openxmlformats.org/officeDocument/2006/relationships/hyperlink" Target="https://x.com/anandjuly15/status/2049061097525948551" TargetMode="External"/><Relationship Id="rId4" Type="http://schemas.openxmlformats.org/officeDocument/2006/relationships/hyperlink" Target="https://x.com/RAMASHA77189861/status/2048367236453417010" TargetMode="External"/><Relationship Id="rId9" Type="http://schemas.openxmlformats.org/officeDocument/2006/relationships/hyperlink" Target="https://x.com/TarunGupta01239/status/2043778798714548637" TargetMode="External"/><Relationship Id="rId5" Type="http://schemas.openxmlformats.org/officeDocument/2006/relationships/hyperlink" Target="https://x.com/Solitude_Goal/status/2047641163512049868" TargetMode="External"/><Relationship Id="rId6" Type="http://schemas.openxmlformats.org/officeDocument/2006/relationships/hyperlink" Target="https://x.com/AdityaPanicke15/status/2045867252369547611" TargetMode="External"/><Relationship Id="rId7" Type="http://schemas.openxmlformats.org/officeDocument/2006/relationships/hyperlink" Target="https://x.com/VarshneyAnshul0/status/2045362479816229113" TargetMode="External"/><Relationship Id="rId8" Type="http://schemas.openxmlformats.org/officeDocument/2006/relationships/hyperlink" Target="https://x.com/sandy_rocks786/status/2044716499492049232" TargetMode="External"/><Relationship Id="rId11" Type="http://schemas.openxmlformats.org/officeDocument/2006/relationships/hyperlink" Target="https://x.com/punitme0100/status/2041446371803414784" TargetMode="External"/><Relationship Id="rId10" Type="http://schemas.openxmlformats.org/officeDocument/2006/relationships/hyperlink" Target="https://x.com/e_echakkara/status/2043589131385938178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x.com/shruti__kaushik/status/2049442289052008457" TargetMode="External"/><Relationship Id="rId3" Type="http://schemas.openxmlformats.org/officeDocument/2006/relationships/hyperlink" Target="https://x.com/RadhaRangs/status/2049384588397756452" TargetMode="External"/><Relationship Id="rId4" Type="http://schemas.openxmlformats.org/officeDocument/2006/relationships/hyperlink" Target="https://x.com/sandip130287/status/2048706684412162512" TargetMode="External"/><Relationship Id="rId9" Type="http://schemas.openxmlformats.org/officeDocument/2006/relationships/hyperlink" Target="https://x.com/sagarbhavsar16/status/2043764160610324663" TargetMode="External"/><Relationship Id="rId5" Type="http://schemas.openxmlformats.org/officeDocument/2006/relationships/hyperlink" Target="https://x.com/subodhjain1/status/2048636583264551348" TargetMode="External"/><Relationship Id="rId6" Type="http://schemas.openxmlformats.org/officeDocument/2006/relationships/hyperlink" Target="https://x.com/Shadab35757764/status/2047966466348351857" TargetMode="External"/><Relationship Id="rId7" Type="http://schemas.openxmlformats.org/officeDocument/2006/relationships/hyperlink" Target="https://x.com/Rajesh761942/status/2047240694088237508" TargetMode="External"/><Relationship Id="rId8" Type="http://schemas.openxmlformats.org/officeDocument/2006/relationships/hyperlink" Target="https://x.com/naveen25goyal/status/2046907057132216616" TargetMode="External"/><Relationship Id="rId11" Type="http://schemas.openxmlformats.org/officeDocument/2006/relationships/hyperlink" Target="https://x.com/PraveenArakkal/status/2043625506260812252" TargetMode="External"/><Relationship Id="rId10" Type="http://schemas.openxmlformats.org/officeDocument/2006/relationships/hyperlink" Target="https://x.com/PraveenArakkal/status/2043747754296349034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x.com/ammar_wasal84/status/2039765544065528285" TargetMode="External"/><Relationship Id="rId14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bits_threads/status/2046164589478617166" TargetMode="External"/><Relationship Id="rId2" Type="http://schemas.openxmlformats.org/officeDocument/2006/relationships/hyperlink" Target="https://x.com/bits_threads/status/2046163051884511290" TargetMode="External"/><Relationship Id="rId3" Type="http://schemas.openxmlformats.org/officeDocument/2006/relationships/hyperlink" Target="https://x.com/surya_itbhu/status/2045118644758462611" TargetMode="External"/><Relationship Id="rId4" Type="http://schemas.openxmlformats.org/officeDocument/2006/relationships/hyperlink" Target="https://x.com/MrSunnybhushan/status/2045118071711617108" TargetMode="External"/><Relationship Id="rId9" Type="http://schemas.openxmlformats.org/officeDocument/2006/relationships/hyperlink" Target="https://x.com/NameaNemam33681/status/2041885464039452985" TargetMode="External"/><Relationship Id="rId5" Type="http://schemas.openxmlformats.org/officeDocument/2006/relationships/hyperlink" Target="https://x.com/ipreitz/status/2043563224361296333" TargetMode="External"/><Relationship Id="rId6" Type="http://schemas.openxmlformats.org/officeDocument/2006/relationships/hyperlink" Target="https://x.com/ipreitz/status/2043561120280334788" TargetMode="External"/><Relationship Id="rId7" Type="http://schemas.openxmlformats.org/officeDocument/2006/relationships/hyperlink" Target="https://x.com/DeSlampam/status/2043246717538300104" TargetMode="External"/><Relationship Id="rId8" Type="http://schemas.openxmlformats.org/officeDocument/2006/relationships/hyperlink" Target="https://x.com/AmanJn_/status/2042586495484334381" TargetMode="External"/><Relationship Id="rId20" Type="http://schemas.openxmlformats.org/officeDocument/2006/relationships/hyperlink" Target="https://x.com/ayushsairan/status/2040054155147137239" TargetMode="External"/><Relationship Id="rId22" Type="http://schemas.openxmlformats.org/officeDocument/2006/relationships/hyperlink" Target="https://x.com/bits_threads/status/2039157685929820291" TargetMode="External"/><Relationship Id="rId21" Type="http://schemas.openxmlformats.org/officeDocument/2006/relationships/hyperlink" Target="https://x.com/maheshshearu727/status/2039246981974159429" TargetMode="External"/><Relationship Id="rId23" Type="http://schemas.openxmlformats.org/officeDocument/2006/relationships/drawing" Target="../drawings/drawing16.xml"/><Relationship Id="rId11" Type="http://schemas.openxmlformats.org/officeDocument/2006/relationships/hyperlink" Target="https://x.com/bits_threads/status/2041515731309998459" TargetMode="External"/><Relationship Id="rId10" Type="http://schemas.openxmlformats.org/officeDocument/2006/relationships/hyperlink" Target="https://x.com/rockstarsani/status/2041870332857127405" TargetMode="External"/><Relationship Id="rId13" Type="http://schemas.openxmlformats.org/officeDocument/2006/relationships/hyperlink" Target="https://x.com/nnagu2009/status/2041463856598569292" TargetMode="External"/><Relationship Id="rId12" Type="http://schemas.openxmlformats.org/officeDocument/2006/relationships/hyperlink" Target="https://x.com/nnagu2009/status/2041467645766307890" TargetMode="External"/><Relationship Id="rId15" Type="http://schemas.openxmlformats.org/officeDocument/2006/relationships/hyperlink" Target="https://x.com/CharanDevidi/status/2041093068485783894" TargetMode="External"/><Relationship Id="rId14" Type="http://schemas.openxmlformats.org/officeDocument/2006/relationships/hyperlink" Target="https://x.com/bad_agrawal/status/2041217238624239719" TargetMode="External"/><Relationship Id="rId17" Type="http://schemas.openxmlformats.org/officeDocument/2006/relationships/hyperlink" Target="https://x.com/shahnainanshua/status/2040838030584680639" TargetMode="External"/><Relationship Id="rId16" Type="http://schemas.openxmlformats.org/officeDocument/2006/relationships/hyperlink" Target="https://x.com/bits_threads/status/2041030167842422820" TargetMode="External"/><Relationship Id="rId19" Type="http://schemas.openxmlformats.org/officeDocument/2006/relationships/hyperlink" Target="https://x.com/bits_threads/status/2040099234557694036" TargetMode="External"/><Relationship Id="rId18" Type="http://schemas.openxmlformats.org/officeDocument/2006/relationships/hyperlink" Target="https://x.com/CreditCardsInd/status/2040825256953483544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x.com/rajatdkhater/status/2047934847033942446" TargetMode="External"/><Relationship Id="rId3" Type="http://schemas.openxmlformats.org/officeDocument/2006/relationships/hyperlink" Target="https://x.com/gsv_ramu/status/2043653377956175926" TargetMode="External"/><Relationship Id="rId4" Type="http://schemas.openxmlformats.org/officeDocument/2006/relationships/hyperlink" Target="https://x.com/taimnisameer/status/2042525851816988964" TargetMode="External"/><Relationship Id="rId5" Type="http://schemas.openxmlformats.org/officeDocument/2006/relationships/hyperlink" Target="https://x.com/DrParasJain15/status/2041104752684249561" TargetMode="External"/><Relationship Id="rId6" Type="http://schemas.openxmlformats.org/officeDocument/2006/relationships/hyperlink" Target="https://x.com/asureshkr/status/2039703030313177207" TargetMode="External"/><Relationship Id="rId7" Type="http://schemas.openxmlformats.org/officeDocument/2006/relationships/drawing" Target="../drawings/drawing17.xml"/><Relationship Id="rId8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srsrao1957/status/2049125365940122087" TargetMode="External"/><Relationship Id="rId2" Type="http://schemas.openxmlformats.org/officeDocument/2006/relationships/hyperlink" Target="https://x.com/RAKESHMAHANTA5/status/2047346493519184198" TargetMode="External"/><Relationship Id="rId3" Type="http://schemas.openxmlformats.org/officeDocument/2006/relationships/hyperlink" Target="https://x.com/RajnikantGoti1/status/2043694323120947251" TargetMode="External"/><Relationship Id="rId4" Type="http://schemas.openxmlformats.org/officeDocument/2006/relationships/hyperlink" Target="https://x.com/zeeshan_Newrek/status/2043676134530035929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x.com/bipin_kataria4/status/2042151076871430204" TargetMode="External"/><Relationship Id="rId6" Type="http://schemas.openxmlformats.org/officeDocument/2006/relationships/hyperlink" Target="https://x.com/RajnikantGoti1/status/2041847675218489389" TargetMode="External"/><Relationship Id="rId7" Type="http://schemas.openxmlformats.org/officeDocument/2006/relationships/hyperlink" Target="https://x.com/naveenjakhar111/status/2041435607529087217" TargetMode="External"/><Relationship Id="rId8" Type="http://schemas.openxmlformats.org/officeDocument/2006/relationships/hyperlink" Target="https://x.com/amitwadkar4/status/2039286627395375579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cmkiran/status/2039212802624323908" TargetMode="External"/><Relationship Id="rId41" Type="http://schemas.openxmlformats.org/officeDocument/2006/relationships/drawing" Target="../drawings/drawing20.xml"/><Relationship Id="rId1" Type="http://schemas.openxmlformats.org/officeDocument/2006/relationships/hyperlink" Target="https://x.com/JustMariner/status/2049423333385707774" TargetMode="External"/><Relationship Id="rId2" Type="http://schemas.openxmlformats.org/officeDocument/2006/relationships/hyperlink" Target="https://x.com/rohanbajaj2008/status/2049349591418712418" TargetMode="External"/><Relationship Id="rId3" Type="http://schemas.openxmlformats.org/officeDocument/2006/relationships/hyperlink" Target="https://x.com/atulmishra70/status/2049099037971005931" TargetMode="External"/><Relationship Id="rId4" Type="http://schemas.openxmlformats.org/officeDocument/2006/relationships/hyperlink" Target="https://x.com/seekabhas/status/2049055101906747684" TargetMode="External"/><Relationship Id="rId9" Type="http://schemas.openxmlformats.org/officeDocument/2006/relationships/hyperlink" Target="https://x.com/kvbksc/status/2047333657313157276" TargetMode="External"/><Relationship Id="rId5" Type="http://schemas.openxmlformats.org/officeDocument/2006/relationships/hyperlink" Target="https://x.com/akanand1982/status/2048600621943775407" TargetMode="External"/><Relationship Id="rId6" Type="http://schemas.openxmlformats.org/officeDocument/2006/relationships/hyperlink" Target="https://x.com/sachin872000/status/2047943877076853021" TargetMode="External"/><Relationship Id="rId7" Type="http://schemas.openxmlformats.org/officeDocument/2006/relationships/hyperlink" Target="https://x.com/sachin872000/status/2047676613475873107" TargetMode="External"/><Relationship Id="rId8" Type="http://schemas.openxmlformats.org/officeDocument/2006/relationships/hyperlink" Target="https://x.com/libranme12/status/2047572520300400939" TargetMode="External"/><Relationship Id="rId31" Type="http://schemas.openxmlformats.org/officeDocument/2006/relationships/hyperlink" Target="https://x.com/shrinath_prabhu/status/2042772960654823936" TargetMode="External"/><Relationship Id="rId30" Type="http://schemas.openxmlformats.org/officeDocument/2006/relationships/hyperlink" Target="https://x.com/amit_rocker/status/2042999021116277130" TargetMode="External"/><Relationship Id="rId33" Type="http://schemas.openxmlformats.org/officeDocument/2006/relationships/hyperlink" Target="https://x.com/sanjaypoddar67/status/2041493825307476003" TargetMode="External"/><Relationship Id="rId32" Type="http://schemas.openxmlformats.org/officeDocument/2006/relationships/hyperlink" Target="https://x.com/JainJignesh/status/2042263601994682435" TargetMode="External"/><Relationship Id="rId35" Type="http://schemas.openxmlformats.org/officeDocument/2006/relationships/hyperlink" Target="https://x.com/jai_warsaw/status/2040457702233813443" TargetMode="External"/><Relationship Id="rId34" Type="http://schemas.openxmlformats.org/officeDocument/2006/relationships/hyperlink" Target="https://x.com/sanjaypoddar67/status/2040874452423160210" TargetMode="External"/><Relationship Id="rId37" Type="http://schemas.openxmlformats.org/officeDocument/2006/relationships/hyperlink" Target="https://x.com/anujmehtaa/status/2039985217226870856" TargetMode="External"/><Relationship Id="rId36" Type="http://schemas.openxmlformats.org/officeDocument/2006/relationships/hyperlink" Target="https://x.com/DeadPirateRIP/status/2040041462713475271" TargetMode="External"/><Relationship Id="rId39" Type="http://schemas.openxmlformats.org/officeDocument/2006/relationships/hyperlink" Target="https://x.com/JonSnow717491/status/2039262308183265713" TargetMode="External"/><Relationship Id="rId38" Type="http://schemas.openxmlformats.org/officeDocument/2006/relationships/hyperlink" Target="https://x.com/Tosharanjansahu/status/2039971765007556988" TargetMode="External"/><Relationship Id="rId20" Type="http://schemas.openxmlformats.org/officeDocument/2006/relationships/hyperlink" Target="https://x.com/TheatrickP/status/2045456909688353231" TargetMode="External"/><Relationship Id="rId22" Type="http://schemas.openxmlformats.org/officeDocument/2006/relationships/hyperlink" Target="https://x.com/poonamlashwani/status/2044031792488034532" TargetMode="External"/><Relationship Id="rId21" Type="http://schemas.openxmlformats.org/officeDocument/2006/relationships/hyperlink" Target="https://x.com/UpadhyayNihar/status/2044040435518321006" TargetMode="External"/><Relationship Id="rId24" Type="http://schemas.openxmlformats.org/officeDocument/2006/relationships/hyperlink" Target="https://x.com/Deepak_Dips968/status/2043814201723105525" TargetMode="External"/><Relationship Id="rId23" Type="http://schemas.openxmlformats.org/officeDocument/2006/relationships/hyperlink" Target="https://x.com/JainJignesh/status/2043912562388185183" TargetMode="External"/><Relationship Id="rId26" Type="http://schemas.openxmlformats.org/officeDocument/2006/relationships/hyperlink" Target="https://x.com/mohitsah20/status/2043644599068238029" TargetMode="External"/><Relationship Id="rId25" Type="http://schemas.openxmlformats.org/officeDocument/2006/relationships/hyperlink" Target="https://x.com/mohitsah20/status/2043644861841334485" TargetMode="External"/><Relationship Id="rId28" Type="http://schemas.openxmlformats.org/officeDocument/2006/relationships/hyperlink" Target="https://x.com/sandyjat1947/status/2043556497763017111" TargetMode="External"/><Relationship Id="rId27" Type="http://schemas.openxmlformats.org/officeDocument/2006/relationships/hyperlink" Target="https://x.com/MANISHKUMAREr/status/2043634051450565065" TargetMode="External"/><Relationship Id="rId29" Type="http://schemas.openxmlformats.org/officeDocument/2006/relationships/hyperlink" Target="https://x.com/praneettulshyan/status/2043514929861525741" TargetMode="External"/><Relationship Id="rId11" Type="http://schemas.openxmlformats.org/officeDocument/2006/relationships/hyperlink" Target="https://x.com/rahulsingh611/status/2047232025493639243" TargetMode="External"/><Relationship Id="rId10" Type="http://schemas.openxmlformats.org/officeDocument/2006/relationships/hyperlink" Target="https://x.com/Jazbatiguy/status/2047250028289495395" TargetMode="External"/><Relationship Id="rId13" Type="http://schemas.openxmlformats.org/officeDocument/2006/relationships/hyperlink" Target="https://x.com/Pankaj_Gusain03/status/2046859107412648353" TargetMode="External"/><Relationship Id="rId12" Type="http://schemas.openxmlformats.org/officeDocument/2006/relationships/hyperlink" Target="https://x.com/sachin872000/status/2046959443653628068" TargetMode="External"/><Relationship Id="rId15" Type="http://schemas.openxmlformats.org/officeDocument/2006/relationships/hyperlink" Target="https://x.com/IN_Common_Man/status/2046152003261468969" TargetMode="External"/><Relationship Id="rId14" Type="http://schemas.openxmlformats.org/officeDocument/2006/relationships/hyperlink" Target="https://x.com/sachin872000/status/2046591714862026811" TargetMode="External"/><Relationship Id="rId17" Type="http://schemas.openxmlformats.org/officeDocument/2006/relationships/hyperlink" Target="https://x.com/bhargamit/status/2045820968250257412" TargetMode="External"/><Relationship Id="rId16" Type="http://schemas.openxmlformats.org/officeDocument/2006/relationships/hyperlink" Target="https://x.com/Oreomyboy444/status/2046071893976064367" TargetMode="External"/><Relationship Id="rId19" Type="http://schemas.openxmlformats.org/officeDocument/2006/relationships/hyperlink" Target="https://x.com/sunilagrawal15/status/2045488440138219603" TargetMode="External"/><Relationship Id="rId18" Type="http://schemas.openxmlformats.org/officeDocument/2006/relationships/hyperlink" Target="https://x.com/JituRawal9/status/2045543934009688337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MUKESHKRSAHUBPS/status/2049497187420450837" TargetMode="External"/><Relationship Id="rId2" Type="http://schemas.openxmlformats.org/officeDocument/2006/relationships/hyperlink" Target="https://x.com/rajasthaniunt/status/2049482343703081047" TargetMode="External"/><Relationship Id="rId3" Type="http://schemas.openxmlformats.org/officeDocument/2006/relationships/hyperlink" Target="https://x.com/Walayatali19/status/2049449938007060927" TargetMode="External"/><Relationship Id="rId4" Type="http://schemas.openxmlformats.org/officeDocument/2006/relationships/hyperlink" Target="https://x.com/sandipnahar19/status/2047532928406847940" TargetMode="External"/><Relationship Id="rId9" Type="http://schemas.openxmlformats.org/officeDocument/2006/relationships/hyperlink" Target="https://x.com/PratykJain/status/2045124496542376206" TargetMode="External"/><Relationship Id="rId5" Type="http://schemas.openxmlformats.org/officeDocument/2006/relationships/hyperlink" Target="https://x.com/MUKESHKRSAHUBPS/status/2047227423281074471" TargetMode="External"/><Relationship Id="rId6" Type="http://schemas.openxmlformats.org/officeDocument/2006/relationships/hyperlink" Target="https://x.com/nishad_anjali/status/2046495915213738126" TargetMode="External"/><Relationship Id="rId7" Type="http://schemas.openxmlformats.org/officeDocument/2006/relationships/hyperlink" Target="https://x.com/ZiaWins/status/2046153931424989544" TargetMode="External"/><Relationship Id="rId8" Type="http://schemas.openxmlformats.org/officeDocument/2006/relationships/hyperlink" Target="https://x.com/kumaran43155040/status/2045396865001419158" TargetMode="External"/><Relationship Id="rId20" Type="http://schemas.openxmlformats.org/officeDocument/2006/relationships/hyperlink" Target="https://x.com/awkward_risk/status/2039612534781866237" TargetMode="External"/><Relationship Id="rId22" Type="http://schemas.openxmlformats.org/officeDocument/2006/relationships/drawing" Target="../drawings/drawing21.xml"/><Relationship Id="rId21" Type="http://schemas.openxmlformats.org/officeDocument/2006/relationships/hyperlink" Target="https://x.com/amitwadkar4/status/2039228550151336084" TargetMode="External"/><Relationship Id="rId11" Type="http://schemas.openxmlformats.org/officeDocument/2006/relationships/hyperlink" Target="https://x.com/YagneshGandhi/status/2044598167103222243" TargetMode="External"/><Relationship Id="rId10" Type="http://schemas.openxmlformats.org/officeDocument/2006/relationships/hyperlink" Target="https://x.com/SingheYellappa/status/2044965050579083487" TargetMode="External"/><Relationship Id="rId13" Type="http://schemas.openxmlformats.org/officeDocument/2006/relationships/hyperlink" Target="https://x.com/MUKESHKRSAHUBPS/status/2044275594331074680" TargetMode="External"/><Relationship Id="rId12" Type="http://schemas.openxmlformats.org/officeDocument/2006/relationships/hyperlink" Target="https://x.com/vlinet/status/2044324732468969512" TargetMode="External"/><Relationship Id="rId15" Type="http://schemas.openxmlformats.org/officeDocument/2006/relationships/hyperlink" Target="https://x.com/SanalBaisil/status/2042096063948189853" TargetMode="External"/><Relationship Id="rId14" Type="http://schemas.openxmlformats.org/officeDocument/2006/relationships/hyperlink" Target="https://x.com/arun123ks/status/2043622804277661707" TargetMode="External"/><Relationship Id="rId17" Type="http://schemas.openxmlformats.org/officeDocument/2006/relationships/hyperlink" Target="https://x.com/Gautam_BV_News/status/2041522724192076284" TargetMode="External"/><Relationship Id="rId16" Type="http://schemas.openxmlformats.org/officeDocument/2006/relationships/hyperlink" Target="https://x.com/hasnain72399825/status/2041559969909416324" TargetMode="External"/><Relationship Id="rId19" Type="http://schemas.openxmlformats.org/officeDocument/2006/relationships/hyperlink" Target="https://x.com/darmuzamil141/status/2040053302260649986" TargetMode="External"/><Relationship Id="rId18" Type="http://schemas.openxmlformats.org/officeDocument/2006/relationships/hyperlink" Target="https://x.com/iamsmg31/status/2041452751801217123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Eccentric_Even/status/2048373162942103719" TargetMode="External"/><Relationship Id="rId2" Type="http://schemas.openxmlformats.org/officeDocument/2006/relationships/hyperlink" Target="https://x.com/kunal_chandel/status/2044639916261572640" TargetMode="External"/><Relationship Id="rId3" Type="http://schemas.openxmlformats.org/officeDocument/2006/relationships/hyperlink" Target="https://x.com/salimshah1212/status/2042511629804539910" TargetMode="External"/><Relationship Id="rId4" Type="http://schemas.openxmlformats.org/officeDocument/2006/relationships/hyperlink" Target="https://x.com/salimshah1212/status/2042510414504952096" TargetMode="External"/><Relationship Id="rId5" Type="http://schemas.openxmlformats.org/officeDocument/2006/relationships/hyperlink" Target="https://x.com/AshwaniPrdhan/status/2041707702758633928" TargetMode="External"/><Relationship Id="rId6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aaranyakwild/status/2048003686274863230" TargetMode="External"/><Relationship Id="rId2" Type="http://schemas.openxmlformats.org/officeDocument/2006/relationships/hyperlink" Target="https://x.com/hi_zuno/status/2042564054221492258" TargetMode="External"/><Relationship Id="rId3" Type="http://schemas.openxmlformats.org/officeDocument/2006/relationships/hyperlink" Target="https://x.com/hi_zuno/status/2040021868565115267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spaharia13/status/2047561903875162534" TargetMode="External"/><Relationship Id="rId2" Type="http://schemas.openxmlformats.org/officeDocument/2006/relationships/hyperlink" Target="https://x.com/jainjeetesh/status/2047188822228979888" TargetMode="External"/><Relationship Id="rId3" Type="http://schemas.openxmlformats.org/officeDocument/2006/relationships/hyperlink" Target="https://x.com/Pulkitcoolhoney/status/2046968597298483579" TargetMode="External"/><Relationship Id="rId4" Type="http://schemas.openxmlformats.org/officeDocument/2006/relationships/hyperlink" Target="https://x.com/Pulkitcoolhoney/status/2046967788947013965" TargetMode="External"/><Relationship Id="rId5" Type="http://schemas.openxmlformats.org/officeDocument/2006/relationships/hyperlink" Target="https://x.com/KSharad9/status/2044710047352324335" TargetMode="External"/><Relationship Id="rId6" Type="http://schemas.openxmlformats.org/officeDocument/2006/relationships/hyperlink" Target="https://x.com/Drsachin919/status/2042658830375621003" TargetMode="External"/><Relationship Id="rId7" Type="http://schemas.openxmlformats.org/officeDocument/2006/relationships/hyperlink" Target="https://x.com/urvish_katara/status/2041859062443471275" TargetMode="External"/><Relationship Id="rId8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kkbishnoi9229/status/2044674464504512546" TargetMode="External"/><Relationship Id="rId2" Type="http://schemas.openxmlformats.org/officeDocument/2006/relationships/hyperlink" Target="https://x.com/Fighter_sharma_/status/2046225053919191132" TargetMode="External"/><Relationship Id="rId3" Type="http://schemas.openxmlformats.org/officeDocument/2006/relationships/hyperlink" Target="https://x.com/kkbishnoi9229/status/2045003981500612690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azadadanoo/status/2042232264671781241" TargetMode="External"/><Relationship Id="rId2" Type="http://schemas.openxmlformats.org/officeDocument/2006/relationships/hyperlink" Target="https://x.com/riyasparihar/status/2043640321914061070" TargetMode="External"/><Relationship Id="rId3" Type="http://schemas.openxmlformats.org/officeDocument/2006/relationships/hyperlink" Target="https://x.com/GOPICHAND9823/status/2044016876666400836" TargetMode="External"/><Relationship Id="rId4" Type="http://schemas.openxmlformats.org/officeDocument/2006/relationships/hyperlink" Target="https://x.com/krishan982/status/2044394185156067531" TargetMode="External"/><Relationship Id="rId9" Type="http://schemas.openxmlformats.org/officeDocument/2006/relationships/hyperlink" Target="https://x.com/indori_dada/status/2044053048851607753" TargetMode="External"/><Relationship Id="rId5" Type="http://schemas.openxmlformats.org/officeDocument/2006/relationships/hyperlink" Target="https://x.com/Chandra62840324/status/2045542334709088282" TargetMode="External"/><Relationship Id="rId6" Type="http://schemas.openxmlformats.org/officeDocument/2006/relationships/hyperlink" Target="https://x.com/molsha131/status/2047535435048800259" TargetMode="External"/><Relationship Id="rId7" Type="http://schemas.openxmlformats.org/officeDocument/2006/relationships/hyperlink" Target="https://x.com/pratiksuman29/status/2043003531377189296" TargetMode="External"/><Relationship Id="rId8" Type="http://schemas.openxmlformats.org/officeDocument/2006/relationships/hyperlink" Target="https://x.com/PRABODH22032972/status/2043005566856106478" TargetMode="External"/><Relationship Id="rId11" Type="http://schemas.openxmlformats.org/officeDocument/2006/relationships/hyperlink" Target="https://x.com/GOPICHAND9823/status/2044084964669698387" TargetMode="External"/><Relationship Id="rId10" Type="http://schemas.openxmlformats.org/officeDocument/2006/relationships/hyperlink" Target="https://x.com/indori_dada/status/2044026693581713520" TargetMode="External"/><Relationship Id="rId12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53.71"/>
    <col customWidth="1" min="3" max="20" width="16.0"/>
    <col customWidth="1" min="21" max="36" width="14.0"/>
  </cols>
  <sheetData>
    <row r="1" ht="30.0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1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</row>
    <row r="2" ht="21.75" customHeight="1">
      <c r="A2" s="1" t="s">
        <v>0</v>
      </c>
      <c r="B2" s="1" t="s">
        <v>1</v>
      </c>
      <c r="C2" s="1" t="s">
        <v>27</v>
      </c>
      <c r="D2" s="1" t="s">
        <v>0</v>
      </c>
      <c r="E2" s="1" t="s">
        <v>27</v>
      </c>
      <c r="F2" s="1" t="s">
        <v>0</v>
      </c>
      <c r="G2" s="1" t="s">
        <v>27</v>
      </c>
      <c r="H2" s="1" t="s">
        <v>0</v>
      </c>
      <c r="I2" s="1" t="s">
        <v>27</v>
      </c>
      <c r="J2" s="1" t="s">
        <v>0</v>
      </c>
      <c r="K2" s="1" t="s">
        <v>27</v>
      </c>
      <c r="L2" s="1" t="s">
        <v>0</v>
      </c>
      <c r="M2" s="1" t="s">
        <v>27</v>
      </c>
      <c r="N2" s="1" t="s">
        <v>0</v>
      </c>
      <c r="O2" s="1" t="s">
        <v>27</v>
      </c>
      <c r="P2" s="1" t="s">
        <v>0</v>
      </c>
      <c r="Q2" s="1" t="s">
        <v>27</v>
      </c>
      <c r="R2" s="1" t="s">
        <v>0</v>
      </c>
      <c r="S2" s="1" t="s">
        <v>27</v>
      </c>
      <c r="T2" s="1" t="s">
        <v>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9.25" customHeight="1">
      <c r="A3" s="3" t="s">
        <v>28</v>
      </c>
      <c r="B3" s="4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5">
        <f t="shared" ref="U3:U4" si="1">TEXT(D3-C3,"[mm]")/60</f>
        <v>5.983333333</v>
      </c>
      <c r="V3" s="6" t="s">
        <v>33</v>
      </c>
      <c r="W3" s="6" t="s">
        <v>33</v>
      </c>
      <c r="X3" s="6" t="s">
        <v>33</v>
      </c>
      <c r="Y3" s="6" t="s">
        <v>33</v>
      </c>
      <c r="Z3" s="6" t="s">
        <v>33</v>
      </c>
      <c r="AA3" s="6" t="s">
        <v>33</v>
      </c>
      <c r="AB3" s="6" t="s">
        <v>33</v>
      </c>
      <c r="AC3" s="6" t="s">
        <v>33</v>
      </c>
      <c r="AD3" s="5">
        <f t="shared" ref="AD3:AD4" si="2">AVERAGE(U3:AC3)</f>
        <v>5.983333333</v>
      </c>
      <c r="AE3" s="3" t="s">
        <v>34</v>
      </c>
      <c r="AF3" s="3" t="s">
        <v>35</v>
      </c>
      <c r="AG3" s="3" t="s">
        <v>35</v>
      </c>
      <c r="AH3" s="3">
        <f t="shared" ref="AH3:AH8" si="3">IF(AND(AE3="FALSE",AF3="FALSE",AG3="FALSE"),-15,IF(AE3="TRUE",10,IF(AF3="TRUE",5,IF(AG3="TRUE",-10,""))))</f>
        <v>10</v>
      </c>
      <c r="AI3" s="3"/>
      <c r="AJ3" s="7"/>
    </row>
    <row r="4" ht="24.0" customHeight="1">
      <c r="A4" s="3" t="s">
        <v>28</v>
      </c>
      <c r="B4" s="4" t="s">
        <v>36</v>
      </c>
      <c r="C4" s="3" t="s">
        <v>37</v>
      </c>
      <c r="D4" s="3" t="s">
        <v>38</v>
      </c>
      <c r="E4" s="3" t="s">
        <v>39</v>
      </c>
      <c r="F4" s="3" t="s">
        <v>33</v>
      </c>
      <c r="G4" s="3" t="s">
        <v>40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5">
        <f t="shared" si="1"/>
        <v>6.8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5">
        <f t="shared" si="2"/>
        <v>6.8</v>
      </c>
      <c r="AE4" s="3" t="s">
        <v>34</v>
      </c>
      <c r="AF4" s="3" t="s">
        <v>35</v>
      </c>
      <c r="AG4" s="3" t="s">
        <v>35</v>
      </c>
      <c r="AH4" s="3">
        <f t="shared" si="3"/>
        <v>10</v>
      </c>
      <c r="AI4" s="3"/>
      <c r="AJ4" s="8"/>
    </row>
    <row r="5" ht="24.75" customHeight="1">
      <c r="A5" s="3" t="s">
        <v>28</v>
      </c>
      <c r="B5" s="4" t="s">
        <v>41</v>
      </c>
      <c r="C5" s="3" t="s">
        <v>42</v>
      </c>
      <c r="D5" s="3" t="s">
        <v>33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9" t="s">
        <v>33</v>
      </c>
      <c r="V5" s="6" t="s">
        <v>33</v>
      </c>
      <c r="W5" s="6" t="s">
        <v>33</v>
      </c>
      <c r="X5" s="6" t="s">
        <v>33</v>
      </c>
      <c r="Y5" s="6" t="s">
        <v>33</v>
      </c>
      <c r="Z5" s="6" t="s">
        <v>33</v>
      </c>
      <c r="AA5" s="6" t="s">
        <v>33</v>
      </c>
      <c r="AB5" s="6" t="s">
        <v>33</v>
      </c>
      <c r="AC5" s="6" t="s">
        <v>33</v>
      </c>
      <c r="AD5" s="6" t="s">
        <v>33</v>
      </c>
      <c r="AE5" s="3" t="s">
        <v>35</v>
      </c>
      <c r="AF5" s="3" t="s">
        <v>35</v>
      </c>
      <c r="AG5" s="3" t="s">
        <v>35</v>
      </c>
      <c r="AH5" s="3">
        <f t="shared" si="3"/>
        <v>-15</v>
      </c>
      <c r="AI5" s="3"/>
      <c r="AJ5" s="8"/>
    </row>
    <row r="6" ht="27.0" customHeight="1">
      <c r="A6" s="3" t="s">
        <v>28</v>
      </c>
      <c r="B6" s="4" t="s">
        <v>43</v>
      </c>
      <c r="C6" s="3" t="s">
        <v>44</v>
      </c>
      <c r="D6" s="3" t="s">
        <v>33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9" t="s">
        <v>33</v>
      </c>
      <c r="V6" s="6" t="s">
        <v>33</v>
      </c>
      <c r="W6" s="6" t="s">
        <v>33</v>
      </c>
      <c r="X6" s="6" t="s">
        <v>33</v>
      </c>
      <c r="Y6" s="6" t="s">
        <v>33</v>
      </c>
      <c r="Z6" s="6" t="s">
        <v>33</v>
      </c>
      <c r="AA6" s="6" t="s">
        <v>33</v>
      </c>
      <c r="AB6" s="6" t="s">
        <v>33</v>
      </c>
      <c r="AC6" s="6" t="s">
        <v>33</v>
      </c>
      <c r="AD6" s="6" t="s">
        <v>33</v>
      </c>
      <c r="AE6" s="3" t="s">
        <v>35</v>
      </c>
      <c r="AF6" s="3" t="s">
        <v>35</v>
      </c>
      <c r="AG6" s="3" t="s">
        <v>35</v>
      </c>
      <c r="AH6" s="3">
        <f t="shared" si="3"/>
        <v>-15</v>
      </c>
      <c r="AI6" s="3"/>
      <c r="AJ6" s="8"/>
    </row>
    <row r="7" ht="33.0" customHeight="1">
      <c r="A7" s="3" t="s">
        <v>28</v>
      </c>
      <c r="B7" s="4" t="s">
        <v>45</v>
      </c>
      <c r="C7" s="3" t="s">
        <v>46</v>
      </c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9" t="s">
        <v>33</v>
      </c>
      <c r="V7" s="6" t="s">
        <v>33</v>
      </c>
      <c r="W7" s="6" t="s">
        <v>33</v>
      </c>
      <c r="X7" s="6" t="s">
        <v>33</v>
      </c>
      <c r="Y7" s="6" t="s">
        <v>33</v>
      </c>
      <c r="Z7" s="6" t="s">
        <v>33</v>
      </c>
      <c r="AA7" s="6" t="s">
        <v>33</v>
      </c>
      <c r="AB7" s="6" t="s">
        <v>33</v>
      </c>
      <c r="AC7" s="6" t="s">
        <v>33</v>
      </c>
      <c r="AD7" s="6" t="s">
        <v>33</v>
      </c>
      <c r="AE7" s="3" t="s">
        <v>35</v>
      </c>
      <c r="AF7" s="3" t="s">
        <v>35</v>
      </c>
      <c r="AG7" s="3" t="s">
        <v>35</v>
      </c>
      <c r="AH7" s="3">
        <f t="shared" si="3"/>
        <v>-15</v>
      </c>
      <c r="AI7" s="3"/>
      <c r="AJ7" s="8"/>
    </row>
    <row r="8" ht="26.25" customHeight="1">
      <c r="A8" s="3" t="s">
        <v>28</v>
      </c>
      <c r="B8" s="4" t="s">
        <v>47</v>
      </c>
      <c r="C8" s="3" t="s">
        <v>48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9" t="s">
        <v>33</v>
      </c>
      <c r="V8" s="6" t="s">
        <v>33</v>
      </c>
      <c r="W8" s="6" t="s">
        <v>33</v>
      </c>
      <c r="X8" s="6" t="s">
        <v>33</v>
      </c>
      <c r="Y8" s="6" t="s">
        <v>33</v>
      </c>
      <c r="Z8" s="6" t="s">
        <v>33</v>
      </c>
      <c r="AA8" s="6" t="s">
        <v>33</v>
      </c>
      <c r="AB8" s="6" t="s">
        <v>33</v>
      </c>
      <c r="AC8" s="6" t="s">
        <v>33</v>
      </c>
      <c r="AD8" s="6" t="s">
        <v>33</v>
      </c>
      <c r="AE8" s="3" t="s">
        <v>35</v>
      </c>
      <c r="AF8" s="3" t="s">
        <v>35</v>
      </c>
      <c r="AG8" s="3" t="s">
        <v>35</v>
      </c>
      <c r="AH8" s="3">
        <f t="shared" si="3"/>
        <v>-15</v>
      </c>
      <c r="AI8" s="3"/>
      <c r="AJ8" s="10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>
        <f>AVERAGE(AD3:AD8)</f>
        <v>6.391666667</v>
      </c>
      <c r="AE9" s="11"/>
      <c r="AF9" s="11"/>
      <c r="AG9" s="11"/>
      <c r="AH9" s="11">
        <f>SUM(AH3:AH8)</f>
        <v>-40</v>
      </c>
      <c r="AI9" s="11"/>
      <c r="AJ9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J3:AJ8"/>
  </mergeCells>
  <hyperlinks>
    <hyperlink r:id="rId1" ref="B3"/>
    <hyperlink r:id="rId2" ref="B4"/>
    <hyperlink r:id="rId3" ref="B5"/>
    <hyperlink r:id="rId4" ref="B6"/>
    <hyperlink r:id="rId5" ref="B7"/>
    <hyperlink r:id="rId6" ref="B8"/>
  </hyperlinks>
  <printOptions/>
  <pageMargins bottom="1.0" footer="0.0" header="0.0" left="0.75" right="0.75" top="1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61.57"/>
    <col customWidth="1" min="3" max="20" width="16.0"/>
    <col customWidth="1" min="21" max="21" width="14.0"/>
    <col customWidth="1" min="22" max="22" width="19.71"/>
    <col customWidth="1" min="23" max="23" width="20.0"/>
    <col customWidth="1" min="24" max="24" width="22.71"/>
    <col customWidth="1" min="25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49</v>
      </c>
      <c r="B3" s="16" t="s">
        <v>50</v>
      </c>
      <c r="C3" s="15" t="s">
        <v>51</v>
      </c>
      <c r="D3" s="15" t="s">
        <v>52</v>
      </c>
      <c r="E3" s="15" t="s">
        <v>53</v>
      </c>
      <c r="F3" s="15" t="s">
        <v>54</v>
      </c>
      <c r="G3" s="15" t="s">
        <v>55</v>
      </c>
      <c r="H3" s="15" t="s">
        <v>56</v>
      </c>
      <c r="I3" s="15" t="s">
        <v>57</v>
      </c>
      <c r="J3" s="15" t="s">
        <v>33</v>
      </c>
      <c r="K3" s="15" t="s">
        <v>58</v>
      </c>
      <c r="L3" s="15" t="s">
        <v>33</v>
      </c>
      <c r="M3" s="15" t="s">
        <v>59</v>
      </c>
      <c r="N3" s="15" t="s">
        <v>33</v>
      </c>
      <c r="O3" s="15" t="s">
        <v>60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8" si="1">TEXT(D3-C3,"[mm]")/60</f>
        <v>1.133333333</v>
      </c>
      <c r="V3" s="17">
        <f>TEXT(F3-E3,"[mm]")/60</f>
        <v>1.116666667</v>
      </c>
      <c r="W3" s="17">
        <f>TEXT(H3-G3,"[mm]")/60</f>
        <v>23.66666667</v>
      </c>
      <c r="X3" s="18" t="s">
        <v>33</v>
      </c>
      <c r="Y3" s="18" t="s">
        <v>33</v>
      </c>
      <c r="Z3" s="18" t="s">
        <v>33</v>
      </c>
      <c r="AA3" s="18" t="s">
        <v>33</v>
      </c>
      <c r="AB3" s="18" t="s">
        <v>33</v>
      </c>
      <c r="AC3" s="18" t="s">
        <v>33</v>
      </c>
      <c r="AD3" s="15">
        <f t="shared" ref="AD3:AD8" si="2">AVERAGE(U3:AC3)</f>
        <v>8.638888889</v>
      </c>
      <c r="AE3" s="15" t="s">
        <v>34</v>
      </c>
      <c r="AF3" s="15" t="s">
        <v>35</v>
      </c>
      <c r="AG3" s="15" t="s">
        <v>35</v>
      </c>
      <c r="AH3" s="15">
        <f t="shared" ref="AH3:AH43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49</v>
      </c>
      <c r="B4" s="16" t="s">
        <v>62</v>
      </c>
      <c r="C4" s="15" t="s">
        <v>63</v>
      </c>
      <c r="D4" s="15" t="s">
        <v>64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1.2</v>
      </c>
      <c r="V4" s="18" t="s">
        <v>33</v>
      </c>
      <c r="W4" s="18" t="s">
        <v>33</v>
      </c>
      <c r="X4" s="18" t="s">
        <v>33</v>
      </c>
      <c r="Y4" s="18" t="s">
        <v>33</v>
      </c>
      <c r="Z4" s="18" t="s">
        <v>33</v>
      </c>
      <c r="AA4" s="18" t="s">
        <v>33</v>
      </c>
      <c r="AB4" s="18" t="s">
        <v>33</v>
      </c>
      <c r="AC4" s="18" t="s">
        <v>33</v>
      </c>
      <c r="AD4" s="15">
        <f t="shared" si="2"/>
        <v>1.2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49</v>
      </c>
      <c r="B5" s="16" t="s">
        <v>65</v>
      </c>
      <c r="C5" s="15" t="s">
        <v>66</v>
      </c>
      <c r="D5" s="15" t="s">
        <v>67</v>
      </c>
      <c r="E5" s="15" t="s">
        <v>68</v>
      </c>
      <c r="F5" s="15" t="s">
        <v>69</v>
      </c>
      <c r="G5" s="15" t="s">
        <v>70</v>
      </c>
      <c r="H5" s="15" t="s">
        <v>33</v>
      </c>
      <c r="I5" s="15" t="s">
        <v>71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1"/>
        <v>0.06666666667</v>
      </c>
      <c r="V5" s="17">
        <f>TEXT(F5-E5,"[mm]")/60</f>
        <v>0.01666666667</v>
      </c>
      <c r="W5" s="18" t="s">
        <v>33</v>
      </c>
      <c r="X5" s="18" t="s">
        <v>33</v>
      </c>
      <c r="Y5" s="18" t="s">
        <v>33</v>
      </c>
      <c r="Z5" s="18" t="s">
        <v>33</v>
      </c>
      <c r="AA5" s="18" t="s">
        <v>33</v>
      </c>
      <c r="AB5" s="18" t="s">
        <v>33</v>
      </c>
      <c r="AC5" s="18" t="s">
        <v>33</v>
      </c>
      <c r="AD5" s="15">
        <f t="shared" si="2"/>
        <v>0.04166666667</v>
      </c>
      <c r="AE5" s="15" t="s">
        <v>34</v>
      </c>
      <c r="AF5" s="15" t="s">
        <v>35</v>
      </c>
      <c r="AG5" s="15" t="s">
        <v>35</v>
      </c>
      <c r="AH5" s="15">
        <f t="shared" si="3"/>
        <v>10</v>
      </c>
      <c r="AI5" s="15"/>
      <c r="AJ5" s="15" t="s">
        <v>61</v>
      </c>
    </row>
    <row r="6" ht="15.75" customHeight="1">
      <c r="A6" s="15" t="s">
        <v>49</v>
      </c>
      <c r="B6" s="16" t="s">
        <v>72</v>
      </c>
      <c r="C6" s="15" t="s">
        <v>73</v>
      </c>
      <c r="D6" s="15" t="s">
        <v>74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0.1166666667</v>
      </c>
      <c r="V6" s="18" t="s">
        <v>33</v>
      </c>
      <c r="W6" s="18" t="s">
        <v>33</v>
      </c>
      <c r="X6" s="18" t="s">
        <v>33</v>
      </c>
      <c r="Y6" s="18" t="s">
        <v>33</v>
      </c>
      <c r="Z6" s="18" t="s">
        <v>33</v>
      </c>
      <c r="AA6" s="18" t="s">
        <v>33</v>
      </c>
      <c r="AB6" s="18" t="s">
        <v>33</v>
      </c>
      <c r="AC6" s="18" t="s">
        <v>33</v>
      </c>
      <c r="AD6" s="15">
        <f t="shared" si="2"/>
        <v>0.1166666667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49</v>
      </c>
      <c r="B7" s="16" t="s">
        <v>75</v>
      </c>
      <c r="C7" s="15" t="s">
        <v>76</v>
      </c>
      <c r="D7" s="15" t="s">
        <v>76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1"/>
        <v>0</v>
      </c>
      <c r="V7" s="18" t="s">
        <v>33</v>
      </c>
      <c r="W7" s="18" t="s">
        <v>33</v>
      </c>
      <c r="X7" s="18" t="s">
        <v>33</v>
      </c>
      <c r="Y7" s="18" t="s">
        <v>33</v>
      </c>
      <c r="Z7" s="18" t="s">
        <v>33</v>
      </c>
      <c r="AA7" s="18" t="s">
        <v>33</v>
      </c>
      <c r="AB7" s="18" t="s">
        <v>33</v>
      </c>
      <c r="AC7" s="18" t="s">
        <v>33</v>
      </c>
      <c r="AD7" s="15">
        <f t="shared" si="2"/>
        <v>0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49</v>
      </c>
      <c r="B8" s="16" t="s">
        <v>77</v>
      </c>
      <c r="C8" s="15" t="s">
        <v>78</v>
      </c>
      <c r="D8" s="15" t="s">
        <v>79</v>
      </c>
      <c r="E8" s="15" t="s">
        <v>80</v>
      </c>
      <c r="F8" s="19">
        <v>46140.45347222222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1"/>
        <v>0.01666666667</v>
      </c>
      <c r="V8" s="17">
        <f>TEXT(F8-E8,"[mm]")/60</f>
        <v>38.11666667</v>
      </c>
      <c r="W8" s="18" t="s">
        <v>33</v>
      </c>
      <c r="X8" s="18" t="s">
        <v>33</v>
      </c>
      <c r="Y8" s="18" t="s">
        <v>33</v>
      </c>
      <c r="Z8" s="18" t="s">
        <v>33</v>
      </c>
      <c r="AA8" s="18" t="s">
        <v>33</v>
      </c>
      <c r="AB8" s="18" t="s">
        <v>33</v>
      </c>
      <c r="AC8" s="18" t="s">
        <v>33</v>
      </c>
      <c r="AD8" s="15">
        <f t="shared" si="2"/>
        <v>19.06666667</v>
      </c>
      <c r="AE8" s="15" t="s">
        <v>34</v>
      </c>
      <c r="AF8" s="15" t="s">
        <v>35</v>
      </c>
      <c r="AG8" s="15" t="s">
        <v>35</v>
      </c>
      <c r="AH8" s="15">
        <f t="shared" si="3"/>
        <v>10</v>
      </c>
      <c r="AI8" s="15"/>
      <c r="AJ8" s="15" t="s">
        <v>61</v>
      </c>
    </row>
    <row r="9" ht="15.75" customHeight="1">
      <c r="A9" s="15" t="s">
        <v>49</v>
      </c>
      <c r="B9" s="16" t="s">
        <v>81</v>
      </c>
      <c r="C9" s="15" t="s">
        <v>82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18" t="s">
        <v>33</v>
      </c>
      <c r="W9" s="18" t="s">
        <v>33</v>
      </c>
      <c r="X9" s="18" t="s">
        <v>33</v>
      </c>
      <c r="Y9" s="18" t="s">
        <v>33</v>
      </c>
      <c r="Z9" s="18" t="s">
        <v>33</v>
      </c>
      <c r="AA9" s="18" t="s">
        <v>33</v>
      </c>
      <c r="AB9" s="18" t="s">
        <v>33</v>
      </c>
      <c r="AC9" s="18" t="s">
        <v>33</v>
      </c>
      <c r="AD9" s="18" t="s">
        <v>33</v>
      </c>
      <c r="AE9" s="15" t="s">
        <v>35</v>
      </c>
      <c r="AF9" s="15" t="s">
        <v>35</v>
      </c>
      <c r="AG9" s="15" t="s">
        <v>35</v>
      </c>
      <c r="AH9" s="15">
        <f t="shared" si="3"/>
        <v>-15</v>
      </c>
      <c r="AI9" s="15"/>
      <c r="AJ9" s="15" t="s">
        <v>61</v>
      </c>
    </row>
    <row r="10" ht="15.75" customHeight="1">
      <c r="A10" s="15" t="s">
        <v>49</v>
      </c>
      <c r="B10" s="16" t="s">
        <v>83</v>
      </c>
      <c r="C10" s="15" t="s">
        <v>84</v>
      </c>
      <c r="D10" s="15" t="s">
        <v>85</v>
      </c>
      <c r="E10" s="15" t="s">
        <v>86</v>
      </c>
      <c r="F10" s="15" t="s">
        <v>87</v>
      </c>
      <c r="G10" s="15" t="s">
        <v>88</v>
      </c>
      <c r="H10" s="15" t="s">
        <v>89</v>
      </c>
      <c r="I10" s="15" t="s">
        <v>90</v>
      </c>
      <c r="J10" s="15" t="s">
        <v>91</v>
      </c>
      <c r="K10" s="15" t="s">
        <v>92</v>
      </c>
      <c r="L10" s="15" t="s">
        <v>33</v>
      </c>
      <c r="M10" s="15" t="s">
        <v>82</v>
      </c>
      <c r="N10" s="15" t="s">
        <v>33</v>
      </c>
      <c r="O10" s="15" t="s">
        <v>93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ref="U10:U13" si="4">TEXT(D10-C10,"[mm]")/60</f>
        <v>0.06666666667</v>
      </c>
      <c r="V10" s="17">
        <f>TEXT(F10-E10,"[mm]")/60</f>
        <v>2.6</v>
      </c>
      <c r="W10" s="17">
        <f>TEXT(H10-G10,"[mm]")/60</f>
        <v>8.333333333</v>
      </c>
      <c r="X10" s="17">
        <f>TEXT(J10-I10,"[mm]")/60</f>
        <v>72.85</v>
      </c>
      <c r="Y10" s="18" t="s">
        <v>33</v>
      </c>
      <c r="Z10" s="18" t="s">
        <v>33</v>
      </c>
      <c r="AA10" s="18" t="s">
        <v>33</v>
      </c>
      <c r="AB10" s="18" t="s">
        <v>33</v>
      </c>
      <c r="AC10" s="18" t="s">
        <v>33</v>
      </c>
      <c r="AD10" s="15">
        <f t="shared" ref="AD10:AD13" si="5">AVERAGE(U10:AC10)</f>
        <v>20.9625</v>
      </c>
      <c r="AE10" s="15" t="s">
        <v>34</v>
      </c>
      <c r="AF10" s="15" t="s">
        <v>35</v>
      </c>
      <c r="AG10" s="15" t="s">
        <v>35</v>
      </c>
      <c r="AH10" s="15">
        <f t="shared" si="3"/>
        <v>10</v>
      </c>
      <c r="AI10" s="15"/>
      <c r="AJ10" s="15" t="s">
        <v>61</v>
      </c>
    </row>
    <row r="11" ht="15.75" customHeight="1">
      <c r="A11" s="15" t="s">
        <v>49</v>
      </c>
      <c r="B11" s="16" t="s">
        <v>94</v>
      </c>
      <c r="C11" s="15" t="s">
        <v>95</v>
      </c>
      <c r="D11" s="15" t="s">
        <v>96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si="4"/>
        <v>0.2666666667</v>
      </c>
      <c r="V11" s="18" t="s">
        <v>33</v>
      </c>
      <c r="W11" s="18" t="s">
        <v>33</v>
      </c>
      <c r="X11" s="18" t="s">
        <v>33</v>
      </c>
      <c r="Y11" s="18" t="s">
        <v>33</v>
      </c>
      <c r="Z11" s="18" t="s">
        <v>33</v>
      </c>
      <c r="AA11" s="18" t="s">
        <v>33</v>
      </c>
      <c r="AB11" s="18" t="s">
        <v>33</v>
      </c>
      <c r="AC11" s="18" t="s">
        <v>33</v>
      </c>
      <c r="AD11" s="15">
        <f t="shared" si="5"/>
        <v>0.2666666667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49</v>
      </c>
      <c r="B12" s="16" t="s">
        <v>97</v>
      </c>
      <c r="C12" s="15" t="s">
        <v>84</v>
      </c>
      <c r="D12" s="15" t="s">
        <v>85</v>
      </c>
      <c r="E12" s="15" t="s">
        <v>86</v>
      </c>
      <c r="F12" s="15" t="s">
        <v>87</v>
      </c>
      <c r="G12" s="15" t="s">
        <v>88</v>
      </c>
      <c r="H12" s="15" t="s">
        <v>89</v>
      </c>
      <c r="I12" s="15" t="s">
        <v>90</v>
      </c>
      <c r="J12" s="15" t="s">
        <v>91</v>
      </c>
      <c r="K12" s="15" t="s">
        <v>92</v>
      </c>
      <c r="L12" s="15" t="s">
        <v>33</v>
      </c>
      <c r="M12" s="15" t="s">
        <v>82</v>
      </c>
      <c r="N12" s="15" t="s">
        <v>33</v>
      </c>
      <c r="O12" s="15" t="s">
        <v>93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4"/>
        <v>0.06666666667</v>
      </c>
      <c r="V12" s="17">
        <f>TEXT(F12-E12,"[mm]")/60</f>
        <v>2.6</v>
      </c>
      <c r="W12" s="17">
        <f>TEXT(H12-G12,"[mm]")/60</f>
        <v>8.333333333</v>
      </c>
      <c r="X12" s="17">
        <f>TEXT(J12-I12,"[mm]")/60</f>
        <v>72.85</v>
      </c>
      <c r="Y12" s="18" t="s">
        <v>33</v>
      </c>
      <c r="Z12" s="18" t="s">
        <v>33</v>
      </c>
      <c r="AA12" s="18" t="s">
        <v>33</v>
      </c>
      <c r="AB12" s="18" t="s">
        <v>33</v>
      </c>
      <c r="AC12" s="18" t="s">
        <v>33</v>
      </c>
      <c r="AD12" s="15">
        <f t="shared" si="5"/>
        <v>20.9625</v>
      </c>
      <c r="AE12" s="15" t="s">
        <v>34</v>
      </c>
      <c r="AF12" s="15" t="s">
        <v>35</v>
      </c>
      <c r="AG12" s="15" t="s">
        <v>35</v>
      </c>
      <c r="AH12" s="15">
        <f t="shared" si="3"/>
        <v>10</v>
      </c>
      <c r="AI12" s="15"/>
      <c r="AJ12" s="15" t="s">
        <v>61</v>
      </c>
    </row>
    <row r="13" ht="15.75" customHeight="1">
      <c r="A13" s="15" t="s">
        <v>49</v>
      </c>
      <c r="B13" s="16" t="s">
        <v>98</v>
      </c>
      <c r="C13" s="15" t="s">
        <v>99</v>
      </c>
      <c r="D13" s="15" t="s">
        <v>100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4"/>
        <v>0.55</v>
      </c>
      <c r="V13" s="18" t="s">
        <v>33</v>
      </c>
      <c r="W13" s="18" t="s">
        <v>33</v>
      </c>
      <c r="X13" s="18" t="s">
        <v>33</v>
      </c>
      <c r="Y13" s="18" t="s">
        <v>33</v>
      </c>
      <c r="Z13" s="18" t="s">
        <v>33</v>
      </c>
      <c r="AA13" s="18" t="s">
        <v>33</v>
      </c>
      <c r="AB13" s="18" t="s">
        <v>33</v>
      </c>
      <c r="AC13" s="18" t="s">
        <v>33</v>
      </c>
      <c r="AD13" s="15">
        <f t="shared" si="5"/>
        <v>0.55</v>
      </c>
      <c r="AE13" s="15" t="s">
        <v>34</v>
      </c>
      <c r="AF13" s="15" t="s">
        <v>35</v>
      </c>
      <c r="AG13" s="15" t="s">
        <v>35</v>
      </c>
      <c r="AH13" s="15">
        <f t="shared" si="3"/>
        <v>10</v>
      </c>
      <c r="AI13" s="15"/>
      <c r="AJ13" s="15" t="s">
        <v>61</v>
      </c>
    </row>
    <row r="14" ht="15.75" customHeight="1">
      <c r="A14" s="15" t="s">
        <v>49</v>
      </c>
      <c r="B14" s="16" t="s">
        <v>101</v>
      </c>
      <c r="C14" s="15" t="s">
        <v>102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20" t="s">
        <v>33</v>
      </c>
      <c r="V14" s="18" t="s">
        <v>33</v>
      </c>
      <c r="W14" s="18" t="s">
        <v>33</v>
      </c>
      <c r="X14" s="18" t="s">
        <v>33</v>
      </c>
      <c r="Y14" s="18" t="s">
        <v>33</v>
      </c>
      <c r="Z14" s="18" t="s">
        <v>33</v>
      </c>
      <c r="AA14" s="18" t="s">
        <v>33</v>
      </c>
      <c r="AB14" s="18" t="s">
        <v>33</v>
      </c>
      <c r="AC14" s="18" t="s">
        <v>33</v>
      </c>
      <c r="AD14" s="18" t="s">
        <v>33</v>
      </c>
      <c r="AE14" s="15" t="s">
        <v>35</v>
      </c>
      <c r="AF14" s="15" t="s">
        <v>35</v>
      </c>
      <c r="AG14" s="15" t="s">
        <v>35</v>
      </c>
      <c r="AH14" s="15">
        <f t="shared" si="3"/>
        <v>-15</v>
      </c>
      <c r="AI14" s="15"/>
      <c r="AJ14" s="15" t="s">
        <v>61</v>
      </c>
    </row>
    <row r="15" ht="15.75" customHeight="1">
      <c r="A15" s="15" t="s">
        <v>49</v>
      </c>
      <c r="B15" s="16" t="s">
        <v>103</v>
      </c>
      <c r="C15" s="15" t="s">
        <v>104</v>
      </c>
      <c r="D15" s="15" t="s">
        <v>105</v>
      </c>
      <c r="E15" s="15" t="s">
        <v>106</v>
      </c>
      <c r="F15" s="15" t="s">
        <v>107</v>
      </c>
      <c r="G15" s="15" t="s">
        <v>108</v>
      </c>
      <c r="H15" s="15" t="s">
        <v>109</v>
      </c>
      <c r="I15" s="15" t="s">
        <v>110</v>
      </c>
      <c r="J15" s="15" t="s">
        <v>33</v>
      </c>
      <c r="K15" s="15" t="s">
        <v>111</v>
      </c>
      <c r="L15" s="15" t="s">
        <v>33</v>
      </c>
      <c r="M15" s="15" t="s">
        <v>112</v>
      </c>
      <c r="N15" s="15" t="s">
        <v>33</v>
      </c>
      <c r="O15" s="15" t="s">
        <v>113</v>
      </c>
      <c r="P15" s="15" t="s">
        <v>33</v>
      </c>
      <c r="Q15" s="15" t="s">
        <v>114</v>
      </c>
      <c r="R15" s="15" t="s">
        <v>33</v>
      </c>
      <c r="S15" s="15" t="s">
        <v>115</v>
      </c>
      <c r="T15" s="15" t="s">
        <v>33</v>
      </c>
      <c r="U15" s="15">
        <f t="shared" ref="U15:U18" si="6">TEXT(D15-C15,"[mm]")/60</f>
        <v>482.9666667</v>
      </c>
      <c r="V15" s="17">
        <f>TEXT(F15-E15,"[mm]")/60</f>
        <v>479.0166667</v>
      </c>
      <c r="W15" s="17">
        <f>TEXT(H15-G15,"[mm]")/60</f>
        <v>582.1666667</v>
      </c>
      <c r="X15" s="18" t="s">
        <v>33</v>
      </c>
      <c r="Y15" s="18" t="s">
        <v>33</v>
      </c>
      <c r="Z15" s="18" t="s">
        <v>33</v>
      </c>
      <c r="AA15" s="18" t="s">
        <v>33</v>
      </c>
      <c r="AB15" s="18" t="s">
        <v>33</v>
      </c>
      <c r="AC15" s="18" t="s">
        <v>33</v>
      </c>
      <c r="AD15" s="15">
        <f t="shared" ref="AD15:AD18" si="7">AVERAGE(U15:AC15)</f>
        <v>514.7166667</v>
      </c>
      <c r="AE15" s="15" t="s">
        <v>35</v>
      </c>
      <c r="AF15" s="15" t="s">
        <v>35</v>
      </c>
      <c r="AG15" s="15" t="s">
        <v>34</v>
      </c>
      <c r="AH15" s="15">
        <f t="shared" si="3"/>
        <v>-10</v>
      </c>
      <c r="AI15" s="15"/>
      <c r="AJ15" s="15" t="s">
        <v>61</v>
      </c>
    </row>
    <row r="16" ht="15.75" customHeight="1">
      <c r="A16" s="15" t="s">
        <v>49</v>
      </c>
      <c r="B16" s="16" t="s">
        <v>116</v>
      </c>
      <c r="C16" s="15" t="s">
        <v>117</v>
      </c>
      <c r="D16" s="15" t="s">
        <v>118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6"/>
        <v>0.2</v>
      </c>
      <c r="V16" s="18" t="s">
        <v>33</v>
      </c>
      <c r="W16" s="18" t="s">
        <v>33</v>
      </c>
      <c r="X16" s="18" t="s">
        <v>33</v>
      </c>
      <c r="Y16" s="18" t="s">
        <v>33</v>
      </c>
      <c r="Z16" s="18" t="s">
        <v>33</v>
      </c>
      <c r="AA16" s="18" t="s">
        <v>33</v>
      </c>
      <c r="AB16" s="18" t="s">
        <v>33</v>
      </c>
      <c r="AC16" s="18" t="s">
        <v>33</v>
      </c>
      <c r="AD16" s="15">
        <f t="shared" si="7"/>
        <v>0.2</v>
      </c>
      <c r="AE16" s="15" t="s">
        <v>34</v>
      </c>
      <c r="AF16" s="15" t="s">
        <v>35</v>
      </c>
      <c r="AG16" s="15" t="s">
        <v>35</v>
      </c>
      <c r="AH16" s="15">
        <f t="shared" si="3"/>
        <v>10</v>
      </c>
      <c r="AI16" s="15"/>
      <c r="AJ16" s="15" t="s">
        <v>61</v>
      </c>
    </row>
    <row r="17" ht="15.75" customHeight="1">
      <c r="A17" s="15" t="s">
        <v>49</v>
      </c>
      <c r="B17" s="16" t="s">
        <v>119</v>
      </c>
      <c r="C17" s="15" t="s">
        <v>120</v>
      </c>
      <c r="D17" s="15" t="s">
        <v>121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6"/>
        <v>0.1</v>
      </c>
      <c r="V17" s="18" t="s">
        <v>33</v>
      </c>
      <c r="W17" s="18" t="s">
        <v>33</v>
      </c>
      <c r="X17" s="18" t="s">
        <v>33</v>
      </c>
      <c r="Y17" s="18" t="s">
        <v>33</v>
      </c>
      <c r="Z17" s="18" t="s">
        <v>33</v>
      </c>
      <c r="AA17" s="18" t="s">
        <v>33</v>
      </c>
      <c r="AB17" s="18" t="s">
        <v>33</v>
      </c>
      <c r="AC17" s="18" t="s">
        <v>33</v>
      </c>
      <c r="AD17" s="15">
        <f t="shared" si="7"/>
        <v>0.1</v>
      </c>
      <c r="AE17" s="15" t="s">
        <v>34</v>
      </c>
      <c r="AF17" s="15" t="s">
        <v>35</v>
      </c>
      <c r="AG17" s="15" t="s">
        <v>35</v>
      </c>
      <c r="AH17" s="15">
        <f t="shared" si="3"/>
        <v>10</v>
      </c>
      <c r="AI17" s="15"/>
      <c r="AJ17" s="15" t="s">
        <v>61</v>
      </c>
    </row>
    <row r="18" ht="15.75" customHeight="1">
      <c r="A18" s="15" t="s">
        <v>49</v>
      </c>
      <c r="B18" s="16" t="s">
        <v>122</v>
      </c>
      <c r="C18" s="15" t="s">
        <v>123</v>
      </c>
      <c r="D18" s="15" t="s">
        <v>124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6"/>
        <v>0.3666666667</v>
      </c>
      <c r="V18" s="18" t="s">
        <v>33</v>
      </c>
      <c r="W18" s="18" t="s">
        <v>33</v>
      </c>
      <c r="X18" s="18" t="s">
        <v>33</v>
      </c>
      <c r="Y18" s="18" t="s">
        <v>33</v>
      </c>
      <c r="Z18" s="18" t="s">
        <v>33</v>
      </c>
      <c r="AA18" s="18" t="s">
        <v>33</v>
      </c>
      <c r="AB18" s="18" t="s">
        <v>33</v>
      </c>
      <c r="AC18" s="18" t="s">
        <v>33</v>
      </c>
      <c r="AD18" s="15">
        <f t="shared" si="7"/>
        <v>0.3666666667</v>
      </c>
      <c r="AE18" s="15" t="s">
        <v>34</v>
      </c>
      <c r="AF18" s="15" t="s">
        <v>35</v>
      </c>
      <c r="AG18" s="15" t="s">
        <v>35</v>
      </c>
      <c r="AH18" s="15">
        <f t="shared" si="3"/>
        <v>10</v>
      </c>
      <c r="AI18" s="15"/>
      <c r="AJ18" s="15" t="s">
        <v>61</v>
      </c>
    </row>
    <row r="19" ht="15.75" customHeight="1">
      <c r="A19" s="15" t="s">
        <v>49</v>
      </c>
      <c r="B19" s="16" t="s">
        <v>125</v>
      </c>
      <c r="C19" s="15" t="s">
        <v>126</v>
      </c>
      <c r="D19" s="15" t="s">
        <v>33</v>
      </c>
      <c r="E19" s="15" t="s">
        <v>33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20" t="s">
        <v>33</v>
      </c>
      <c r="V19" s="18" t="s">
        <v>33</v>
      </c>
      <c r="W19" s="18" t="s">
        <v>33</v>
      </c>
      <c r="X19" s="18" t="s">
        <v>33</v>
      </c>
      <c r="Y19" s="18" t="s">
        <v>33</v>
      </c>
      <c r="Z19" s="18" t="s">
        <v>33</v>
      </c>
      <c r="AA19" s="18" t="s">
        <v>33</v>
      </c>
      <c r="AB19" s="18" t="s">
        <v>33</v>
      </c>
      <c r="AC19" s="18" t="s">
        <v>33</v>
      </c>
      <c r="AD19" s="18" t="s">
        <v>33</v>
      </c>
      <c r="AE19" s="15" t="s">
        <v>35</v>
      </c>
      <c r="AF19" s="15" t="s">
        <v>35</v>
      </c>
      <c r="AG19" s="15" t="s">
        <v>35</v>
      </c>
      <c r="AH19" s="15">
        <f t="shared" si="3"/>
        <v>-15</v>
      </c>
      <c r="AI19" s="15"/>
      <c r="AJ19" s="15" t="s">
        <v>61</v>
      </c>
    </row>
    <row r="20" ht="15.75" customHeight="1">
      <c r="A20" s="15" t="s">
        <v>49</v>
      </c>
      <c r="B20" s="16" t="s">
        <v>127</v>
      </c>
      <c r="C20" s="15" t="s">
        <v>128</v>
      </c>
      <c r="D20" s="15" t="s">
        <v>129</v>
      </c>
      <c r="E20" s="15" t="s">
        <v>33</v>
      </c>
      <c r="F20" s="15" t="s">
        <v>130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ref="U20:U21" si="8">TEXT(D20-C20,"[mm]")/60</f>
        <v>0.06666666667</v>
      </c>
      <c r="V20" s="18" t="s">
        <v>33</v>
      </c>
      <c r="W20" s="18" t="s">
        <v>33</v>
      </c>
      <c r="X20" s="18" t="s">
        <v>33</v>
      </c>
      <c r="Y20" s="18" t="s">
        <v>33</v>
      </c>
      <c r="Z20" s="18" t="s">
        <v>33</v>
      </c>
      <c r="AA20" s="18" t="s">
        <v>33</v>
      </c>
      <c r="AB20" s="18" t="s">
        <v>33</v>
      </c>
      <c r="AC20" s="18" t="s">
        <v>33</v>
      </c>
      <c r="AD20" s="15">
        <f t="shared" ref="AD20:AD21" si="9">AVERAGE(U20:AC20)</f>
        <v>0.06666666667</v>
      </c>
      <c r="AE20" s="15" t="s">
        <v>34</v>
      </c>
      <c r="AF20" s="15" t="s">
        <v>35</v>
      </c>
      <c r="AG20" s="15" t="s">
        <v>35</v>
      </c>
      <c r="AH20" s="15">
        <f t="shared" si="3"/>
        <v>10</v>
      </c>
      <c r="AI20" s="15"/>
      <c r="AJ20" s="15" t="s">
        <v>61</v>
      </c>
    </row>
    <row r="21" ht="15.75" customHeight="1">
      <c r="A21" s="15" t="s">
        <v>49</v>
      </c>
      <c r="B21" s="16" t="s">
        <v>131</v>
      </c>
      <c r="C21" s="15" t="s">
        <v>132</v>
      </c>
      <c r="D21" s="15" t="s">
        <v>133</v>
      </c>
      <c r="E21" s="15" t="s">
        <v>134</v>
      </c>
      <c r="F21" s="19">
        <v>46135.84861111111</v>
      </c>
      <c r="G21" s="15" t="s">
        <v>135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>
        <f t="shared" si="8"/>
        <v>0.08333333333</v>
      </c>
      <c r="V21" s="17">
        <f>TEXT(F21-E21,"[mm]")/60</f>
        <v>56.26666667</v>
      </c>
      <c r="W21" s="18" t="s">
        <v>33</v>
      </c>
      <c r="X21" s="18" t="s">
        <v>33</v>
      </c>
      <c r="Y21" s="18" t="s">
        <v>33</v>
      </c>
      <c r="Z21" s="18" t="s">
        <v>33</v>
      </c>
      <c r="AA21" s="18" t="s">
        <v>33</v>
      </c>
      <c r="AB21" s="18" t="s">
        <v>33</v>
      </c>
      <c r="AC21" s="18" t="s">
        <v>33</v>
      </c>
      <c r="AD21" s="15">
        <f t="shared" si="9"/>
        <v>28.175</v>
      </c>
      <c r="AE21" s="15" t="s">
        <v>34</v>
      </c>
      <c r="AF21" s="15" t="s">
        <v>35</v>
      </c>
      <c r="AG21" s="15" t="s">
        <v>35</v>
      </c>
      <c r="AH21" s="15">
        <f t="shared" si="3"/>
        <v>10</v>
      </c>
      <c r="AI21" s="15"/>
      <c r="AJ21" s="15" t="s">
        <v>61</v>
      </c>
    </row>
    <row r="22" ht="15.75" customHeight="1">
      <c r="A22" s="15" t="s">
        <v>49</v>
      </c>
      <c r="B22" s="16" t="s">
        <v>136</v>
      </c>
      <c r="C22" s="15" t="s">
        <v>137</v>
      </c>
      <c r="D22" s="15" t="s">
        <v>33</v>
      </c>
      <c r="E22" s="15" t="s">
        <v>33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20" t="s">
        <v>33</v>
      </c>
      <c r="V22" s="18" t="s">
        <v>33</v>
      </c>
      <c r="W22" s="18" t="s">
        <v>33</v>
      </c>
      <c r="X22" s="18" t="s">
        <v>33</v>
      </c>
      <c r="Y22" s="18" t="s">
        <v>33</v>
      </c>
      <c r="Z22" s="18" t="s">
        <v>33</v>
      </c>
      <c r="AA22" s="18" t="s">
        <v>33</v>
      </c>
      <c r="AB22" s="18" t="s">
        <v>33</v>
      </c>
      <c r="AC22" s="18" t="s">
        <v>33</v>
      </c>
      <c r="AD22" s="18" t="s">
        <v>33</v>
      </c>
      <c r="AE22" s="15" t="s">
        <v>35</v>
      </c>
      <c r="AF22" s="15" t="s">
        <v>35</v>
      </c>
      <c r="AG22" s="15" t="s">
        <v>35</v>
      </c>
      <c r="AH22" s="15">
        <f t="shared" si="3"/>
        <v>-15</v>
      </c>
      <c r="AI22" s="15"/>
      <c r="AJ22" s="15" t="s">
        <v>61</v>
      </c>
    </row>
    <row r="23" ht="15.75" customHeight="1">
      <c r="A23" s="15" t="s">
        <v>49</v>
      </c>
      <c r="B23" s="16" t="s">
        <v>138</v>
      </c>
      <c r="C23" s="15" t="s">
        <v>139</v>
      </c>
      <c r="D23" s="15" t="s">
        <v>140</v>
      </c>
      <c r="E23" s="15" t="s">
        <v>141</v>
      </c>
      <c r="F23" s="15" t="s">
        <v>142</v>
      </c>
      <c r="G23" s="15" t="s">
        <v>143</v>
      </c>
      <c r="H23" s="15" t="s">
        <v>33</v>
      </c>
      <c r="I23" s="15" t="s">
        <v>144</v>
      </c>
      <c r="J23" s="15" t="s">
        <v>33</v>
      </c>
      <c r="K23" s="15" t="s">
        <v>145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>TEXT(D23-C23,"[mm]")/60</f>
        <v>0.15</v>
      </c>
      <c r="V23" s="17">
        <f>TEXT(F23-E23,"[mm]")/60</f>
        <v>25.25</v>
      </c>
      <c r="W23" s="18" t="s">
        <v>33</v>
      </c>
      <c r="X23" s="18" t="s">
        <v>33</v>
      </c>
      <c r="Y23" s="18" t="s">
        <v>33</v>
      </c>
      <c r="Z23" s="18" t="s">
        <v>33</v>
      </c>
      <c r="AA23" s="18" t="s">
        <v>33</v>
      </c>
      <c r="AB23" s="18" t="s">
        <v>33</v>
      </c>
      <c r="AC23" s="18" t="s">
        <v>33</v>
      </c>
      <c r="AD23" s="15">
        <f>AVERAGE(U23:AC23)</f>
        <v>12.7</v>
      </c>
      <c r="AE23" s="15" t="s">
        <v>34</v>
      </c>
      <c r="AF23" s="15" t="s">
        <v>35</v>
      </c>
      <c r="AG23" s="15" t="s">
        <v>35</v>
      </c>
      <c r="AH23" s="15">
        <f t="shared" si="3"/>
        <v>10</v>
      </c>
      <c r="AI23" s="15"/>
      <c r="AJ23" s="15" t="s">
        <v>61</v>
      </c>
    </row>
    <row r="24" ht="15.75" customHeight="1">
      <c r="A24" s="15" t="s">
        <v>49</v>
      </c>
      <c r="B24" s="16" t="s">
        <v>146</v>
      </c>
      <c r="C24" s="15" t="s">
        <v>147</v>
      </c>
      <c r="D24" s="15" t="s">
        <v>33</v>
      </c>
      <c r="E24" s="15" t="s">
        <v>33</v>
      </c>
      <c r="F24" s="15" t="s">
        <v>33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20" t="s">
        <v>33</v>
      </c>
      <c r="V24" s="18" t="s">
        <v>33</v>
      </c>
      <c r="W24" s="18" t="s">
        <v>33</v>
      </c>
      <c r="X24" s="18" t="s">
        <v>33</v>
      </c>
      <c r="Y24" s="18" t="s">
        <v>33</v>
      </c>
      <c r="Z24" s="18" t="s">
        <v>33</v>
      </c>
      <c r="AA24" s="18" t="s">
        <v>33</v>
      </c>
      <c r="AB24" s="18" t="s">
        <v>33</v>
      </c>
      <c r="AC24" s="18" t="s">
        <v>33</v>
      </c>
      <c r="AD24" s="18" t="s">
        <v>33</v>
      </c>
      <c r="AE24" s="15" t="s">
        <v>35</v>
      </c>
      <c r="AF24" s="15" t="s">
        <v>35</v>
      </c>
      <c r="AG24" s="15" t="s">
        <v>35</v>
      </c>
      <c r="AH24" s="15">
        <f t="shared" si="3"/>
        <v>-15</v>
      </c>
      <c r="AI24" s="15"/>
      <c r="AJ24" s="15" t="s">
        <v>61</v>
      </c>
    </row>
    <row r="25" ht="15.75" customHeight="1">
      <c r="A25" s="15" t="s">
        <v>49</v>
      </c>
      <c r="B25" s="16" t="s">
        <v>148</v>
      </c>
      <c r="C25" s="15" t="s">
        <v>149</v>
      </c>
      <c r="D25" s="15" t="s">
        <v>150</v>
      </c>
      <c r="E25" s="15" t="s">
        <v>33</v>
      </c>
      <c r="F25" s="15" t="s">
        <v>33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ref="U25:U35" si="10">TEXT(D25-C25,"[mm]")/60</f>
        <v>0.08333333333</v>
      </c>
      <c r="V25" s="18" t="s">
        <v>33</v>
      </c>
      <c r="W25" s="18" t="s">
        <v>33</v>
      </c>
      <c r="X25" s="18" t="s">
        <v>33</v>
      </c>
      <c r="Y25" s="18" t="s">
        <v>33</v>
      </c>
      <c r="Z25" s="18" t="s">
        <v>33</v>
      </c>
      <c r="AA25" s="18" t="s">
        <v>33</v>
      </c>
      <c r="AB25" s="18" t="s">
        <v>33</v>
      </c>
      <c r="AC25" s="18" t="s">
        <v>33</v>
      </c>
      <c r="AD25" s="15">
        <f t="shared" ref="AD25:AD35" si="11">AVERAGE(U25:AC25)</f>
        <v>0.08333333333</v>
      </c>
      <c r="AE25" s="15" t="s">
        <v>34</v>
      </c>
      <c r="AF25" s="15" t="s">
        <v>35</v>
      </c>
      <c r="AG25" s="15" t="s">
        <v>35</v>
      </c>
      <c r="AH25" s="15">
        <f t="shared" si="3"/>
        <v>10</v>
      </c>
      <c r="AI25" s="15"/>
      <c r="AJ25" s="15" t="s">
        <v>61</v>
      </c>
    </row>
    <row r="26" ht="15.75" customHeight="1">
      <c r="A26" s="15" t="s">
        <v>49</v>
      </c>
      <c r="B26" s="16" t="s">
        <v>151</v>
      </c>
      <c r="C26" s="15" t="s">
        <v>152</v>
      </c>
      <c r="D26" s="15" t="s">
        <v>153</v>
      </c>
      <c r="E26" s="15" t="s">
        <v>154</v>
      </c>
      <c r="F26" s="15" t="s">
        <v>33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10"/>
        <v>0.03333333333</v>
      </c>
      <c r="V26" s="18" t="s">
        <v>33</v>
      </c>
      <c r="W26" s="18" t="s">
        <v>33</v>
      </c>
      <c r="X26" s="18" t="s">
        <v>33</v>
      </c>
      <c r="Y26" s="18" t="s">
        <v>33</v>
      </c>
      <c r="Z26" s="18" t="s">
        <v>33</v>
      </c>
      <c r="AA26" s="18" t="s">
        <v>33</v>
      </c>
      <c r="AB26" s="18" t="s">
        <v>33</v>
      </c>
      <c r="AC26" s="18" t="s">
        <v>33</v>
      </c>
      <c r="AD26" s="15">
        <f t="shared" si="11"/>
        <v>0.03333333333</v>
      </c>
      <c r="AE26" s="15" t="s">
        <v>34</v>
      </c>
      <c r="AF26" s="15" t="s">
        <v>35</v>
      </c>
      <c r="AG26" s="15" t="s">
        <v>35</v>
      </c>
      <c r="AH26" s="15">
        <f t="shared" si="3"/>
        <v>10</v>
      </c>
      <c r="AI26" s="15"/>
      <c r="AJ26" s="15" t="s">
        <v>61</v>
      </c>
    </row>
    <row r="27" ht="15.75" customHeight="1">
      <c r="A27" s="15" t="s">
        <v>49</v>
      </c>
      <c r="B27" s="16" t="s">
        <v>155</v>
      </c>
      <c r="C27" s="15" t="s">
        <v>156</v>
      </c>
      <c r="D27" s="15" t="s">
        <v>157</v>
      </c>
      <c r="E27" s="15" t="s">
        <v>33</v>
      </c>
      <c r="F27" s="15" t="s">
        <v>33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10"/>
        <v>2.616666667</v>
      </c>
      <c r="V27" s="18" t="s">
        <v>33</v>
      </c>
      <c r="W27" s="18" t="s">
        <v>33</v>
      </c>
      <c r="X27" s="18" t="s">
        <v>33</v>
      </c>
      <c r="Y27" s="18" t="s">
        <v>33</v>
      </c>
      <c r="Z27" s="18" t="s">
        <v>33</v>
      </c>
      <c r="AA27" s="18" t="s">
        <v>33</v>
      </c>
      <c r="AB27" s="18" t="s">
        <v>33</v>
      </c>
      <c r="AC27" s="18" t="s">
        <v>33</v>
      </c>
      <c r="AD27" s="15">
        <f t="shared" si="11"/>
        <v>2.616666667</v>
      </c>
      <c r="AE27" s="15" t="s">
        <v>34</v>
      </c>
      <c r="AF27" s="15" t="s">
        <v>35</v>
      </c>
      <c r="AG27" s="15" t="s">
        <v>35</v>
      </c>
      <c r="AH27" s="15">
        <f t="shared" si="3"/>
        <v>10</v>
      </c>
      <c r="AI27" s="15"/>
      <c r="AJ27" s="15" t="s">
        <v>61</v>
      </c>
    </row>
    <row r="28" ht="15.75" customHeight="1">
      <c r="A28" s="15" t="s">
        <v>49</v>
      </c>
      <c r="B28" s="16" t="s">
        <v>158</v>
      </c>
      <c r="C28" s="15" t="s">
        <v>159</v>
      </c>
      <c r="D28" s="15" t="s">
        <v>160</v>
      </c>
      <c r="E28" s="15" t="s">
        <v>33</v>
      </c>
      <c r="F28" s="15" t="s">
        <v>161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15">
        <f t="shared" si="10"/>
        <v>0.1666666667</v>
      </c>
      <c r="V28" s="18" t="s">
        <v>33</v>
      </c>
      <c r="W28" s="18" t="s">
        <v>33</v>
      </c>
      <c r="X28" s="18" t="s">
        <v>33</v>
      </c>
      <c r="Y28" s="18" t="s">
        <v>33</v>
      </c>
      <c r="Z28" s="18" t="s">
        <v>33</v>
      </c>
      <c r="AA28" s="18" t="s">
        <v>33</v>
      </c>
      <c r="AB28" s="18" t="s">
        <v>33</v>
      </c>
      <c r="AC28" s="18" t="s">
        <v>33</v>
      </c>
      <c r="AD28" s="15">
        <f t="shared" si="11"/>
        <v>0.1666666667</v>
      </c>
      <c r="AE28" s="15" t="s">
        <v>34</v>
      </c>
      <c r="AF28" s="15" t="s">
        <v>35</v>
      </c>
      <c r="AG28" s="15" t="s">
        <v>35</v>
      </c>
      <c r="AH28" s="15">
        <f t="shared" si="3"/>
        <v>10</v>
      </c>
      <c r="AI28" s="15"/>
      <c r="AJ28" s="15" t="s">
        <v>61</v>
      </c>
    </row>
    <row r="29" ht="15.75" customHeight="1">
      <c r="A29" s="15" t="s">
        <v>49</v>
      </c>
      <c r="B29" s="16" t="s">
        <v>162</v>
      </c>
      <c r="C29" s="15" t="s">
        <v>163</v>
      </c>
      <c r="D29" s="15" t="s">
        <v>164</v>
      </c>
      <c r="E29" s="15" t="s">
        <v>33</v>
      </c>
      <c r="F29" s="15" t="s">
        <v>165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 t="shared" si="10"/>
        <v>0.06666666667</v>
      </c>
      <c r="V29" s="18" t="s">
        <v>33</v>
      </c>
      <c r="W29" s="18" t="s">
        <v>33</v>
      </c>
      <c r="X29" s="18" t="s">
        <v>33</v>
      </c>
      <c r="Y29" s="18" t="s">
        <v>33</v>
      </c>
      <c r="Z29" s="18" t="s">
        <v>33</v>
      </c>
      <c r="AA29" s="18" t="s">
        <v>33</v>
      </c>
      <c r="AB29" s="18" t="s">
        <v>33</v>
      </c>
      <c r="AC29" s="18" t="s">
        <v>33</v>
      </c>
      <c r="AD29" s="15">
        <f t="shared" si="11"/>
        <v>0.06666666667</v>
      </c>
      <c r="AE29" s="15" t="s">
        <v>34</v>
      </c>
      <c r="AF29" s="15" t="s">
        <v>35</v>
      </c>
      <c r="AG29" s="15" t="s">
        <v>35</v>
      </c>
      <c r="AH29" s="15">
        <f t="shared" si="3"/>
        <v>10</v>
      </c>
      <c r="AI29" s="15"/>
      <c r="AJ29" s="15" t="s">
        <v>61</v>
      </c>
    </row>
    <row r="30" ht="15.75" customHeight="1">
      <c r="A30" s="15" t="s">
        <v>49</v>
      </c>
      <c r="B30" s="16" t="s">
        <v>166</v>
      </c>
      <c r="C30" s="15" t="s">
        <v>167</v>
      </c>
      <c r="D30" s="15" t="s">
        <v>168</v>
      </c>
      <c r="E30" s="15" t="s">
        <v>169</v>
      </c>
      <c r="F30" s="15" t="s">
        <v>170</v>
      </c>
      <c r="G30" s="15" t="s">
        <v>171</v>
      </c>
      <c r="H30" s="15" t="s">
        <v>33</v>
      </c>
      <c r="I30" s="15" t="s">
        <v>172</v>
      </c>
      <c r="J30" s="15" t="s">
        <v>33</v>
      </c>
      <c r="K30" s="15" t="s">
        <v>173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si="10"/>
        <v>0.05</v>
      </c>
      <c r="V30" s="17">
        <f t="shared" ref="V30:V35" si="12">TEXT(F30-E30,"[mm]")/60</f>
        <v>0.2833333333</v>
      </c>
      <c r="W30" s="18" t="s">
        <v>33</v>
      </c>
      <c r="X30" s="18" t="s">
        <v>33</v>
      </c>
      <c r="Y30" s="18" t="s">
        <v>33</v>
      </c>
      <c r="Z30" s="18" t="s">
        <v>33</v>
      </c>
      <c r="AA30" s="18" t="s">
        <v>33</v>
      </c>
      <c r="AB30" s="18" t="s">
        <v>33</v>
      </c>
      <c r="AC30" s="18" t="s">
        <v>33</v>
      </c>
      <c r="AD30" s="15">
        <f t="shared" si="11"/>
        <v>0.1666666667</v>
      </c>
      <c r="AE30" s="15" t="s">
        <v>34</v>
      </c>
      <c r="AF30" s="15" t="s">
        <v>35</v>
      </c>
      <c r="AG30" s="15" t="s">
        <v>35</v>
      </c>
      <c r="AH30" s="15">
        <f t="shared" si="3"/>
        <v>10</v>
      </c>
      <c r="AI30" s="15"/>
      <c r="AJ30" s="15" t="s">
        <v>61</v>
      </c>
    </row>
    <row r="31" ht="15.75" customHeight="1">
      <c r="A31" s="15" t="s">
        <v>49</v>
      </c>
      <c r="B31" s="16" t="s">
        <v>174</v>
      </c>
      <c r="C31" s="15" t="s">
        <v>175</v>
      </c>
      <c r="D31" s="15" t="s">
        <v>176</v>
      </c>
      <c r="E31" s="15" t="s">
        <v>177</v>
      </c>
      <c r="F31" s="15" t="s">
        <v>178</v>
      </c>
      <c r="G31" s="15" t="s">
        <v>179</v>
      </c>
      <c r="H31" s="15" t="s">
        <v>180</v>
      </c>
      <c r="I31" s="15" t="s">
        <v>181</v>
      </c>
      <c r="J31" s="15" t="s">
        <v>182</v>
      </c>
      <c r="K31" s="19">
        <v>46133.80902777778</v>
      </c>
      <c r="L31" s="19">
        <v>46133.83125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10"/>
        <v>0.06666666667</v>
      </c>
      <c r="V31" s="17">
        <f t="shared" si="12"/>
        <v>61.96666667</v>
      </c>
      <c r="W31" s="17">
        <f t="shared" ref="W31:W35" si="13">TEXT(H31-G31,"[mm]")/60</f>
        <v>179.9166667</v>
      </c>
      <c r="X31" s="17">
        <f t="shared" ref="X31:X32" si="14">TEXT(J31-I31,"[mm]")/60</f>
        <v>0.06666666667</v>
      </c>
      <c r="Y31" s="17">
        <f>TEXT(L31-K31,"[mm]")/60</f>
        <v>0.5333333333</v>
      </c>
      <c r="Z31" s="18" t="s">
        <v>33</v>
      </c>
      <c r="AA31" s="18" t="s">
        <v>33</v>
      </c>
      <c r="AB31" s="18" t="s">
        <v>33</v>
      </c>
      <c r="AC31" s="18" t="s">
        <v>33</v>
      </c>
      <c r="AD31" s="15">
        <f t="shared" si="11"/>
        <v>48.51</v>
      </c>
      <c r="AE31" s="15" t="s">
        <v>34</v>
      </c>
      <c r="AF31" s="15" t="s">
        <v>35</v>
      </c>
      <c r="AG31" s="15" t="s">
        <v>35</v>
      </c>
      <c r="AH31" s="15">
        <f t="shared" si="3"/>
        <v>10</v>
      </c>
      <c r="AI31" s="15"/>
      <c r="AJ31" s="15" t="s">
        <v>61</v>
      </c>
    </row>
    <row r="32" ht="15.75" customHeight="1">
      <c r="A32" s="15" t="s">
        <v>49</v>
      </c>
      <c r="B32" s="16" t="s">
        <v>183</v>
      </c>
      <c r="C32" s="15" t="s">
        <v>184</v>
      </c>
      <c r="D32" s="15" t="s">
        <v>185</v>
      </c>
      <c r="E32" s="15" t="s">
        <v>186</v>
      </c>
      <c r="F32" s="19">
        <v>46122.294444444444</v>
      </c>
      <c r="G32" s="15" t="s">
        <v>187</v>
      </c>
      <c r="H32" s="15" t="s">
        <v>188</v>
      </c>
      <c r="I32" s="15" t="s">
        <v>189</v>
      </c>
      <c r="J32" s="15" t="s">
        <v>190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10"/>
        <v>0.05</v>
      </c>
      <c r="V32" s="17">
        <f t="shared" si="12"/>
        <v>7.083333333</v>
      </c>
      <c r="W32" s="17">
        <f t="shared" si="13"/>
        <v>0.03333333333</v>
      </c>
      <c r="X32" s="17">
        <f t="shared" si="14"/>
        <v>141.6333333</v>
      </c>
      <c r="Y32" s="18" t="s">
        <v>33</v>
      </c>
      <c r="Z32" s="18" t="s">
        <v>33</v>
      </c>
      <c r="AA32" s="18" t="s">
        <v>33</v>
      </c>
      <c r="AB32" s="18" t="s">
        <v>33</v>
      </c>
      <c r="AC32" s="18" t="s">
        <v>33</v>
      </c>
      <c r="AD32" s="15">
        <f t="shared" si="11"/>
        <v>37.2</v>
      </c>
      <c r="AE32" s="15" t="s">
        <v>34</v>
      </c>
      <c r="AF32" s="15" t="s">
        <v>35</v>
      </c>
      <c r="AG32" s="15" t="s">
        <v>35</v>
      </c>
      <c r="AH32" s="15">
        <f t="shared" si="3"/>
        <v>10</v>
      </c>
      <c r="AI32" s="15"/>
      <c r="AJ32" s="15" t="s">
        <v>61</v>
      </c>
    </row>
    <row r="33" ht="15.75" customHeight="1">
      <c r="A33" s="15" t="s">
        <v>49</v>
      </c>
      <c r="B33" s="16" t="s">
        <v>191</v>
      </c>
      <c r="C33" s="15" t="s">
        <v>192</v>
      </c>
      <c r="D33" s="15" t="s">
        <v>193</v>
      </c>
      <c r="E33" s="19">
        <v>46121.75763888889</v>
      </c>
      <c r="F33" s="19">
        <v>46121.760416666664</v>
      </c>
      <c r="G33" s="15" t="s">
        <v>194</v>
      </c>
      <c r="H33" s="15" t="s">
        <v>195</v>
      </c>
      <c r="I33" s="15" t="s">
        <v>196</v>
      </c>
      <c r="J33" s="15" t="s">
        <v>33</v>
      </c>
      <c r="K33" s="15" t="s">
        <v>197</v>
      </c>
      <c r="L33" s="15" t="s">
        <v>33</v>
      </c>
      <c r="M33" s="15" t="s">
        <v>198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10"/>
        <v>0.06666666667</v>
      </c>
      <c r="V33" s="17">
        <f t="shared" si="12"/>
        <v>0.06666666667</v>
      </c>
      <c r="W33" s="17">
        <f t="shared" si="13"/>
        <v>961.75</v>
      </c>
      <c r="X33" s="18" t="s">
        <v>33</v>
      </c>
      <c r="Y33" s="18" t="s">
        <v>33</v>
      </c>
      <c r="Z33" s="18" t="s">
        <v>33</v>
      </c>
      <c r="AA33" s="18" t="s">
        <v>33</v>
      </c>
      <c r="AB33" s="18" t="s">
        <v>33</v>
      </c>
      <c r="AC33" s="18" t="s">
        <v>33</v>
      </c>
      <c r="AD33" s="15">
        <f t="shared" si="11"/>
        <v>320.6277778</v>
      </c>
      <c r="AE33" s="15" t="s">
        <v>34</v>
      </c>
      <c r="AF33" s="15" t="s">
        <v>35</v>
      </c>
      <c r="AG33" s="15" t="s">
        <v>35</v>
      </c>
      <c r="AH33" s="15">
        <f t="shared" si="3"/>
        <v>10</v>
      </c>
      <c r="AI33" s="15"/>
      <c r="AJ33" s="15" t="s">
        <v>61</v>
      </c>
    </row>
    <row r="34" ht="15.75" customHeight="1">
      <c r="A34" s="15" t="s">
        <v>49</v>
      </c>
      <c r="B34" s="16" t="s">
        <v>199</v>
      </c>
      <c r="C34" s="15" t="s">
        <v>200</v>
      </c>
      <c r="D34" s="15" t="s">
        <v>201</v>
      </c>
      <c r="E34" s="15" t="s">
        <v>202</v>
      </c>
      <c r="F34" s="15" t="s">
        <v>203</v>
      </c>
      <c r="G34" s="15" t="s">
        <v>204</v>
      </c>
      <c r="H34" s="15" t="s">
        <v>205</v>
      </c>
      <c r="I34" s="15" t="s">
        <v>206</v>
      </c>
      <c r="J34" s="15" t="s">
        <v>207</v>
      </c>
      <c r="K34" s="15" t="s">
        <v>208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15">
        <f t="shared" si="10"/>
        <v>0.1666666667</v>
      </c>
      <c r="V34" s="17">
        <f t="shared" si="12"/>
        <v>0.03333333333</v>
      </c>
      <c r="W34" s="17">
        <f t="shared" si="13"/>
        <v>19.85</v>
      </c>
      <c r="X34" s="17">
        <f t="shared" ref="X34:X35" si="15">TEXT(J34-I34,"[mm]")/60</f>
        <v>0.08333333333</v>
      </c>
      <c r="Y34" s="18" t="s">
        <v>33</v>
      </c>
      <c r="Z34" s="18" t="s">
        <v>33</v>
      </c>
      <c r="AA34" s="18" t="s">
        <v>33</v>
      </c>
      <c r="AB34" s="18" t="s">
        <v>33</v>
      </c>
      <c r="AC34" s="18" t="s">
        <v>33</v>
      </c>
      <c r="AD34" s="15">
        <f t="shared" si="11"/>
        <v>5.033333333</v>
      </c>
      <c r="AE34" s="15" t="s">
        <v>34</v>
      </c>
      <c r="AF34" s="15" t="s">
        <v>35</v>
      </c>
      <c r="AG34" s="15" t="s">
        <v>35</v>
      </c>
      <c r="AH34" s="15">
        <f t="shared" si="3"/>
        <v>10</v>
      </c>
      <c r="AI34" s="15"/>
      <c r="AJ34" s="15" t="s">
        <v>61</v>
      </c>
    </row>
    <row r="35" ht="15.75" customHeight="1">
      <c r="A35" s="15" t="s">
        <v>49</v>
      </c>
      <c r="B35" s="16" t="s">
        <v>209</v>
      </c>
      <c r="C35" s="15" t="s">
        <v>210</v>
      </c>
      <c r="D35" s="15" t="s">
        <v>211</v>
      </c>
      <c r="E35" s="15" t="s">
        <v>212</v>
      </c>
      <c r="F35" s="15" t="s">
        <v>213</v>
      </c>
      <c r="G35" s="15" t="s">
        <v>211</v>
      </c>
      <c r="H35" s="15" t="s">
        <v>214</v>
      </c>
      <c r="I35" s="15" t="s">
        <v>215</v>
      </c>
      <c r="J35" s="15" t="s">
        <v>216</v>
      </c>
      <c r="K35" s="15" t="s">
        <v>217</v>
      </c>
      <c r="L35" s="15" t="s">
        <v>218</v>
      </c>
      <c r="M35" s="15" t="s">
        <v>214</v>
      </c>
      <c r="N35" s="15" t="s">
        <v>219</v>
      </c>
      <c r="O35" s="15" t="s">
        <v>220</v>
      </c>
      <c r="P35" s="15" t="s">
        <v>221</v>
      </c>
      <c r="Q35" s="15" t="s">
        <v>222</v>
      </c>
      <c r="R35" s="15" t="s">
        <v>223</v>
      </c>
      <c r="S35" s="15" t="s">
        <v>224</v>
      </c>
      <c r="T35" s="15" t="s">
        <v>33</v>
      </c>
      <c r="U35" s="15">
        <f t="shared" si="10"/>
        <v>0.06666666667</v>
      </c>
      <c r="V35" s="17">
        <f t="shared" si="12"/>
        <v>1.65</v>
      </c>
      <c r="W35" s="17">
        <f t="shared" si="13"/>
        <v>18.16666667</v>
      </c>
      <c r="X35" s="17">
        <f t="shared" si="15"/>
        <v>18.1</v>
      </c>
      <c r="Y35" s="17">
        <f>TEXT(L35-K35,"[mm]")/60</f>
        <v>5.683333333</v>
      </c>
      <c r="Z35" s="15">
        <f>TEXT(N35-M35,"[mm]")/60</f>
        <v>142.5833333</v>
      </c>
      <c r="AA35" s="15">
        <f>TEXT(P35-O35,"[mm]")/60</f>
        <v>142.9666667</v>
      </c>
      <c r="AB35" s="17">
        <f>TEXT(R35-Q35,"[mm]")/60</f>
        <v>140.4</v>
      </c>
      <c r="AC35" s="18" t="s">
        <v>33</v>
      </c>
      <c r="AD35" s="15">
        <f t="shared" si="11"/>
        <v>58.70208333</v>
      </c>
      <c r="AE35" s="15" t="s">
        <v>34</v>
      </c>
      <c r="AF35" s="15" t="s">
        <v>35</v>
      </c>
      <c r="AG35" s="15" t="s">
        <v>35</v>
      </c>
      <c r="AH35" s="15">
        <f t="shared" si="3"/>
        <v>10</v>
      </c>
      <c r="AI35" s="15"/>
      <c r="AJ35" s="15" t="s">
        <v>61</v>
      </c>
    </row>
    <row r="36" ht="15.75" customHeight="1">
      <c r="A36" s="15" t="s">
        <v>49</v>
      </c>
      <c r="B36" s="16" t="s">
        <v>225</v>
      </c>
      <c r="C36" s="15" t="s">
        <v>210</v>
      </c>
      <c r="D36" s="15" t="s">
        <v>33</v>
      </c>
      <c r="E36" s="15" t="s">
        <v>33</v>
      </c>
      <c r="F36" s="15" t="s">
        <v>33</v>
      </c>
      <c r="G36" s="15" t="s">
        <v>33</v>
      </c>
      <c r="H36" s="15" t="s">
        <v>33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20" t="s">
        <v>33</v>
      </c>
      <c r="V36" s="18" t="s">
        <v>33</v>
      </c>
      <c r="W36" s="18" t="s">
        <v>33</v>
      </c>
      <c r="X36" s="18" t="s">
        <v>33</v>
      </c>
      <c r="Y36" s="18" t="s">
        <v>33</v>
      </c>
      <c r="Z36" s="18" t="s">
        <v>33</v>
      </c>
      <c r="AA36" s="18" t="s">
        <v>33</v>
      </c>
      <c r="AB36" s="18" t="s">
        <v>33</v>
      </c>
      <c r="AC36" s="18" t="s">
        <v>33</v>
      </c>
      <c r="AD36" s="18" t="s">
        <v>33</v>
      </c>
      <c r="AE36" s="15" t="s">
        <v>35</v>
      </c>
      <c r="AF36" s="15" t="s">
        <v>35</v>
      </c>
      <c r="AG36" s="15" t="s">
        <v>35</v>
      </c>
      <c r="AH36" s="15">
        <f t="shared" si="3"/>
        <v>-15</v>
      </c>
      <c r="AI36" s="15"/>
      <c r="AJ36" s="15" t="s">
        <v>61</v>
      </c>
    </row>
    <row r="37" ht="15.75" customHeight="1">
      <c r="A37" s="15" t="s">
        <v>49</v>
      </c>
      <c r="B37" s="16" t="s">
        <v>226</v>
      </c>
      <c r="C37" s="15" t="s">
        <v>227</v>
      </c>
      <c r="D37" s="15" t="s">
        <v>228</v>
      </c>
      <c r="E37" s="15" t="s">
        <v>33</v>
      </c>
      <c r="F37" s="15" t="s">
        <v>33</v>
      </c>
      <c r="G37" s="15" t="s">
        <v>33</v>
      </c>
      <c r="H37" s="15" t="s">
        <v>33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>TEXT(D37-C37,"[mm]")/60</f>
        <v>0.3333333333</v>
      </c>
      <c r="V37" s="18" t="s">
        <v>33</v>
      </c>
      <c r="W37" s="18" t="s">
        <v>33</v>
      </c>
      <c r="X37" s="18" t="s">
        <v>33</v>
      </c>
      <c r="Y37" s="18" t="s">
        <v>33</v>
      </c>
      <c r="Z37" s="18" t="s">
        <v>33</v>
      </c>
      <c r="AA37" s="18" t="s">
        <v>33</v>
      </c>
      <c r="AB37" s="18" t="s">
        <v>33</v>
      </c>
      <c r="AC37" s="18" t="s">
        <v>33</v>
      </c>
      <c r="AD37" s="15">
        <f>AVERAGE(U37:AC37)</f>
        <v>0.3333333333</v>
      </c>
      <c r="AE37" s="15" t="s">
        <v>34</v>
      </c>
      <c r="AF37" s="15" t="s">
        <v>35</v>
      </c>
      <c r="AG37" s="15" t="s">
        <v>35</v>
      </c>
      <c r="AH37" s="15">
        <f t="shared" si="3"/>
        <v>10</v>
      </c>
      <c r="AI37" s="15"/>
      <c r="AJ37" s="15" t="s">
        <v>61</v>
      </c>
    </row>
    <row r="38" ht="15.75" customHeight="1">
      <c r="A38" s="15" t="s">
        <v>49</v>
      </c>
      <c r="B38" s="16" t="s">
        <v>229</v>
      </c>
      <c r="C38" s="15" t="s">
        <v>230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18" t="s">
        <v>33</v>
      </c>
      <c r="W38" s="18" t="s">
        <v>33</v>
      </c>
      <c r="X38" s="18" t="s">
        <v>33</v>
      </c>
      <c r="Y38" s="18" t="s">
        <v>33</v>
      </c>
      <c r="Z38" s="18" t="s">
        <v>33</v>
      </c>
      <c r="AA38" s="18" t="s">
        <v>33</v>
      </c>
      <c r="AB38" s="18" t="s">
        <v>33</v>
      </c>
      <c r="AC38" s="18" t="s">
        <v>33</v>
      </c>
      <c r="AD38" s="18" t="s">
        <v>33</v>
      </c>
      <c r="AE38" s="15" t="s">
        <v>35</v>
      </c>
      <c r="AF38" s="15" t="s">
        <v>35</v>
      </c>
      <c r="AG38" s="15" t="s">
        <v>35</v>
      </c>
      <c r="AH38" s="15">
        <f t="shared" si="3"/>
        <v>-15</v>
      </c>
      <c r="AI38" s="15"/>
      <c r="AJ38" s="15" t="s">
        <v>61</v>
      </c>
    </row>
    <row r="39" ht="15.75" customHeight="1">
      <c r="A39" s="15" t="s">
        <v>49</v>
      </c>
      <c r="B39" s="16" t="s">
        <v>231</v>
      </c>
      <c r="C39" s="15" t="s">
        <v>232</v>
      </c>
      <c r="D39" s="15" t="s">
        <v>233</v>
      </c>
      <c r="E39" s="15" t="s">
        <v>33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>TEXT(D39-C39,"[mm]")/60</f>
        <v>0.3166666667</v>
      </c>
      <c r="V39" s="18" t="s">
        <v>33</v>
      </c>
      <c r="W39" s="18" t="s">
        <v>33</v>
      </c>
      <c r="X39" s="18" t="s">
        <v>33</v>
      </c>
      <c r="Y39" s="18" t="s">
        <v>33</v>
      </c>
      <c r="Z39" s="18" t="s">
        <v>33</v>
      </c>
      <c r="AA39" s="18" t="s">
        <v>33</v>
      </c>
      <c r="AB39" s="18" t="s">
        <v>33</v>
      </c>
      <c r="AC39" s="18" t="s">
        <v>33</v>
      </c>
      <c r="AD39" s="15">
        <f>AVERAGE(U39:AC39)</f>
        <v>0.3166666667</v>
      </c>
      <c r="AE39" s="15" t="s">
        <v>34</v>
      </c>
      <c r="AF39" s="15" t="s">
        <v>35</v>
      </c>
      <c r="AG39" s="15" t="s">
        <v>35</v>
      </c>
      <c r="AH39" s="15">
        <f t="shared" si="3"/>
        <v>10</v>
      </c>
      <c r="AI39" s="15"/>
      <c r="AJ39" s="15" t="s">
        <v>61</v>
      </c>
    </row>
    <row r="40" ht="15.75" customHeight="1">
      <c r="A40" s="15" t="s">
        <v>49</v>
      </c>
      <c r="B40" s="16" t="s">
        <v>234</v>
      </c>
      <c r="C40" s="15" t="s">
        <v>235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18" t="s">
        <v>33</v>
      </c>
      <c r="W40" s="18" t="s">
        <v>33</v>
      </c>
      <c r="X40" s="18" t="s">
        <v>33</v>
      </c>
      <c r="Y40" s="18" t="s">
        <v>33</v>
      </c>
      <c r="Z40" s="18" t="s">
        <v>33</v>
      </c>
      <c r="AA40" s="18" t="s">
        <v>33</v>
      </c>
      <c r="AB40" s="18" t="s">
        <v>33</v>
      </c>
      <c r="AC40" s="18" t="s">
        <v>33</v>
      </c>
      <c r="AD40" s="18" t="s">
        <v>33</v>
      </c>
      <c r="AE40" s="15" t="s">
        <v>35</v>
      </c>
      <c r="AF40" s="15" t="s">
        <v>35</v>
      </c>
      <c r="AG40" s="15" t="s">
        <v>35</v>
      </c>
      <c r="AH40" s="15">
        <f t="shared" si="3"/>
        <v>-15</v>
      </c>
      <c r="AI40" s="15"/>
      <c r="AJ40" s="15" t="s">
        <v>61</v>
      </c>
    </row>
    <row r="41" ht="15.75" customHeight="1">
      <c r="A41" s="15" t="s">
        <v>49</v>
      </c>
      <c r="B41" s="16" t="s">
        <v>236</v>
      </c>
      <c r="C41" s="15" t="s">
        <v>237</v>
      </c>
      <c r="D41" s="15" t="s">
        <v>33</v>
      </c>
      <c r="E41" s="15" t="s">
        <v>33</v>
      </c>
      <c r="F41" s="15" t="s">
        <v>33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20" t="s">
        <v>33</v>
      </c>
      <c r="V41" s="18" t="s">
        <v>33</v>
      </c>
      <c r="W41" s="18" t="s">
        <v>33</v>
      </c>
      <c r="X41" s="18" t="s">
        <v>33</v>
      </c>
      <c r="Y41" s="18" t="s">
        <v>33</v>
      </c>
      <c r="Z41" s="18" t="s">
        <v>33</v>
      </c>
      <c r="AA41" s="18" t="s">
        <v>33</v>
      </c>
      <c r="AB41" s="18" t="s">
        <v>33</v>
      </c>
      <c r="AC41" s="18" t="s">
        <v>33</v>
      </c>
      <c r="AD41" s="18" t="s">
        <v>33</v>
      </c>
      <c r="AE41" s="15" t="s">
        <v>35</v>
      </c>
      <c r="AF41" s="15" t="s">
        <v>35</v>
      </c>
      <c r="AG41" s="15" t="s">
        <v>35</v>
      </c>
      <c r="AH41" s="15">
        <f t="shared" si="3"/>
        <v>-15</v>
      </c>
      <c r="AI41" s="15"/>
      <c r="AJ41" s="15" t="s">
        <v>61</v>
      </c>
    </row>
    <row r="42" ht="15.75" customHeight="1">
      <c r="A42" s="15" t="s">
        <v>49</v>
      </c>
      <c r="B42" s="16" t="s">
        <v>238</v>
      </c>
      <c r="C42" s="15" t="s">
        <v>239</v>
      </c>
      <c r="D42" s="15" t="s">
        <v>240</v>
      </c>
      <c r="E42" s="15" t="s">
        <v>241</v>
      </c>
      <c r="F42" s="15" t="s">
        <v>242</v>
      </c>
      <c r="G42" s="15" t="s">
        <v>243</v>
      </c>
      <c r="H42" s="15" t="s">
        <v>244</v>
      </c>
      <c r="I42" s="15" t="s">
        <v>245</v>
      </c>
      <c r="J42" s="15" t="s">
        <v>246</v>
      </c>
      <c r="K42" s="15" t="s">
        <v>247</v>
      </c>
      <c r="L42" s="15" t="s">
        <v>33</v>
      </c>
      <c r="M42" s="15" t="s">
        <v>248</v>
      </c>
      <c r="N42" s="15" t="s">
        <v>33</v>
      </c>
      <c r="O42" s="15" t="s">
        <v>249</v>
      </c>
      <c r="P42" s="15" t="s">
        <v>33</v>
      </c>
      <c r="Q42" s="15" t="s">
        <v>250</v>
      </c>
      <c r="R42" s="15" t="s">
        <v>33</v>
      </c>
      <c r="S42" s="15" t="s">
        <v>251</v>
      </c>
      <c r="T42" s="15" t="s">
        <v>33</v>
      </c>
      <c r="U42" s="15">
        <f t="shared" ref="U42:U43" si="16">TEXT(D42-C42,"[mm]")/60</f>
        <v>0.06666666667</v>
      </c>
      <c r="V42" s="17">
        <f>TEXT(F42-E42,"[mm]")/60</f>
        <v>0.03333333333</v>
      </c>
      <c r="W42" s="17">
        <f>TEXT(H42-G42,"[mm]")/60</f>
        <v>4.2</v>
      </c>
      <c r="X42" s="17">
        <f>TEXT(J42-I42,"[mm]")/60</f>
        <v>5.216666667</v>
      </c>
      <c r="Y42" s="18" t="s">
        <v>33</v>
      </c>
      <c r="Z42" s="18" t="s">
        <v>33</v>
      </c>
      <c r="AA42" s="18" t="s">
        <v>33</v>
      </c>
      <c r="AB42" s="18" t="s">
        <v>33</v>
      </c>
      <c r="AC42" s="18" t="s">
        <v>33</v>
      </c>
      <c r="AD42" s="15">
        <f t="shared" ref="AD42:AD43" si="17">AVERAGE(U42:AC42)</f>
        <v>2.379166667</v>
      </c>
      <c r="AE42" s="15" t="s">
        <v>34</v>
      </c>
      <c r="AF42" s="15" t="s">
        <v>35</v>
      </c>
      <c r="AG42" s="15" t="s">
        <v>35</v>
      </c>
      <c r="AH42" s="15">
        <f t="shared" si="3"/>
        <v>10</v>
      </c>
      <c r="AI42" s="15"/>
      <c r="AJ42" s="15" t="s">
        <v>61</v>
      </c>
    </row>
    <row r="43" ht="15.75" customHeight="1">
      <c r="A43" s="15" t="s">
        <v>49</v>
      </c>
      <c r="B43" s="16" t="s">
        <v>252</v>
      </c>
      <c r="C43" s="15" t="s">
        <v>253</v>
      </c>
      <c r="D43" s="15" t="s">
        <v>254</v>
      </c>
      <c r="E43" s="15" t="s">
        <v>255</v>
      </c>
      <c r="F43" s="15" t="s">
        <v>33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16"/>
        <v>0.1166666667</v>
      </c>
      <c r="V43" s="18" t="s">
        <v>33</v>
      </c>
      <c r="W43" s="18" t="s">
        <v>33</v>
      </c>
      <c r="X43" s="18" t="s">
        <v>33</v>
      </c>
      <c r="Y43" s="18" t="s">
        <v>33</v>
      </c>
      <c r="Z43" s="18" t="s">
        <v>33</v>
      </c>
      <c r="AA43" s="18" t="s">
        <v>33</v>
      </c>
      <c r="AB43" s="18" t="s">
        <v>33</v>
      </c>
      <c r="AC43" s="18" t="s">
        <v>33</v>
      </c>
      <c r="AD43" s="15">
        <f t="shared" si="17"/>
        <v>0.1166666667</v>
      </c>
      <c r="AE43" s="15" t="s">
        <v>34</v>
      </c>
      <c r="AF43" s="15" t="s">
        <v>35</v>
      </c>
      <c r="AG43" s="15" t="s">
        <v>35</v>
      </c>
      <c r="AH43" s="15">
        <f t="shared" si="3"/>
        <v>10</v>
      </c>
      <c r="AI43" s="15"/>
      <c r="AJ43" s="15" t="s">
        <v>61</v>
      </c>
    </row>
    <row r="44" ht="15.75" customHeight="1">
      <c r="AD44" s="21">
        <f>AVERAGE(AD3:AD43)</f>
        <v>34.51509115</v>
      </c>
      <c r="AH44" s="21">
        <f>SUM(AH3:AH43)</f>
        <v>165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</hyperlinks>
  <printOptions/>
  <pageMargins bottom="1.0" footer="0.0" header="0.0" left="0.75" right="0.75" top="1.0"/>
  <pageSetup orientation="landscape"/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4.14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256</v>
      </c>
      <c r="B3" s="16" t="s">
        <v>257</v>
      </c>
      <c r="C3" s="15" t="s">
        <v>258</v>
      </c>
      <c r="D3" s="15" t="s">
        <v>259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4" si="1">TEXT(D3-C3,"[mm]")/60</f>
        <v>0.1833333333</v>
      </c>
      <c r="V3" s="18" t="s">
        <v>33</v>
      </c>
      <c r="W3" s="18" t="s">
        <v>33</v>
      </c>
      <c r="X3" s="18" t="s">
        <v>33</v>
      </c>
      <c r="Y3" s="18" t="s">
        <v>33</v>
      </c>
      <c r="Z3" s="18" t="s">
        <v>33</v>
      </c>
      <c r="AA3" s="18" t="s">
        <v>33</v>
      </c>
      <c r="AB3" s="18" t="s">
        <v>33</v>
      </c>
      <c r="AC3" s="18" t="s">
        <v>33</v>
      </c>
      <c r="AD3" s="15">
        <f t="shared" ref="AD3:AD4" si="2">AVERAGE(U3:AC3)</f>
        <v>0.1833333333</v>
      </c>
      <c r="AE3" s="15" t="s">
        <v>34</v>
      </c>
      <c r="AF3" s="15" t="s">
        <v>35</v>
      </c>
      <c r="AG3" s="15" t="s">
        <v>35</v>
      </c>
      <c r="AH3" s="15">
        <f t="shared" ref="AH3:AH66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256</v>
      </c>
      <c r="B4" s="16" t="s">
        <v>260</v>
      </c>
      <c r="C4" s="15" t="s">
        <v>261</v>
      </c>
      <c r="D4" s="15" t="s">
        <v>262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0.01666666667</v>
      </c>
      <c r="V4" s="18" t="s">
        <v>33</v>
      </c>
      <c r="W4" s="18" t="s">
        <v>33</v>
      </c>
      <c r="X4" s="18" t="s">
        <v>33</v>
      </c>
      <c r="Y4" s="18" t="s">
        <v>33</v>
      </c>
      <c r="Z4" s="18" t="s">
        <v>33</v>
      </c>
      <c r="AA4" s="18" t="s">
        <v>33</v>
      </c>
      <c r="AB4" s="18" t="s">
        <v>33</v>
      </c>
      <c r="AC4" s="18" t="s">
        <v>33</v>
      </c>
      <c r="AD4" s="15">
        <f t="shared" si="2"/>
        <v>0.01666666667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256</v>
      </c>
      <c r="B5" s="16" t="s">
        <v>263</v>
      </c>
      <c r="C5" s="15" t="s">
        <v>264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18" t="s">
        <v>33</v>
      </c>
      <c r="W5" s="18" t="s">
        <v>33</v>
      </c>
      <c r="X5" s="18" t="s">
        <v>33</v>
      </c>
      <c r="Y5" s="18" t="s">
        <v>33</v>
      </c>
      <c r="Z5" s="18" t="s">
        <v>33</v>
      </c>
      <c r="AA5" s="18" t="s">
        <v>33</v>
      </c>
      <c r="AB5" s="18" t="s">
        <v>33</v>
      </c>
      <c r="AC5" s="18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3"/>
        <v>-15</v>
      </c>
      <c r="AI5" s="15"/>
      <c r="AJ5" s="15" t="s">
        <v>61</v>
      </c>
    </row>
    <row r="6" ht="15.75" customHeight="1">
      <c r="A6" s="15" t="s">
        <v>256</v>
      </c>
      <c r="B6" s="16" t="s">
        <v>265</v>
      </c>
      <c r="C6" s="15" t="s">
        <v>266</v>
      </c>
      <c r="D6" s="15" t="s">
        <v>267</v>
      </c>
      <c r="E6" s="15" t="s">
        <v>268</v>
      </c>
      <c r="F6" s="15" t="s">
        <v>269</v>
      </c>
      <c r="G6" s="15" t="s">
        <v>270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ref="U6:U7" si="4">TEXT(D6-C6,"[mm]")/60</f>
        <v>0.05</v>
      </c>
      <c r="V6" s="15">
        <f>TEXT(F6-E6,"[mm]")/60</f>
        <v>0.1166666667</v>
      </c>
      <c r="W6" s="18" t="s">
        <v>33</v>
      </c>
      <c r="X6" s="18" t="s">
        <v>33</v>
      </c>
      <c r="Y6" s="18" t="s">
        <v>33</v>
      </c>
      <c r="Z6" s="18" t="s">
        <v>33</v>
      </c>
      <c r="AA6" s="18" t="s">
        <v>33</v>
      </c>
      <c r="AB6" s="18" t="s">
        <v>33</v>
      </c>
      <c r="AC6" s="18" t="s">
        <v>33</v>
      </c>
      <c r="AD6" s="15">
        <f t="shared" ref="AD6:AD7" si="5">AVERAGE(U6:AC6)</f>
        <v>0.08333333333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256</v>
      </c>
      <c r="B7" s="16" t="s">
        <v>271</v>
      </c>
      <c r="C7" s="15" t="s">
        <v>272</v>
      </c>
      <c r="D7" s="15" t="s">
        <v>264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4"/>
        <v>0.08333333333</v>
      </c>
      <c r="V7" s="18" t="s">
        <v>33</v>
      </c>
      <c r="W7" s="18" t="s">
        <v>33</v>
      </c>
      <c r="X7" s="18" t="s">
        <v>33</v>
      </c>
      <c r="Y7" s="18" t="s">
        <v>33</v>
      </c>
      <c r="Z7" s="18" t="s">
        <v>33</v>
      </c>
      <c r="AA7" s="18" t="s">
        <v>33</v>
      </c>
      <c r="AB7" s="18" t="s">
        <v>33</v>
      </c>
      <c r="AC7" s="18" t="s">
        <v>33</v>
      </c>
      <c r="AD7" s="15">
        <f t="shared" si="5"/>
        <v>0.08333333333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256</v>
      </c>
      <c r="B8" s="16" t="s">
        <v>273</v>
      </c>
      <c r="C8" s="15" t="s">
        <v>274</v>
      </c>
      <c r="D8" s="15" t="s">
        <v>33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20" t="s">
        <v>33</v>
      </c>
      <c r="V8" s="18" t="s">
        <v>33</v>
      </c>
      <c r="W8" s="18" t="s">
        <v>33</v>
      </c>
      <c r="X8" s="18" t="s">
        <v>33</v>
      </c>
      <c r="Y8" s="18" t="s">
        <v>33</v>
      </c>
      <c r="Z8" s="18" t="s">
        <v>33</v>
      </c>
      <c r="AA8" s="18" t="s">
        <v>33</v>
      </c>
      <c r="AB8" s="18" t="s">
        <v>33</v>
      </c>
      <c r="AC8" s="18" t="s">
        <v>33</v>
      </c>
      <c r="AD8" s="20" t="s">
        <v>33</v>
      </c>
      <c r="AE8" s="15" t="s">
        <v>35</v>
      </c>
      <c r="AF8" s="15" t="s">
        <v>35</v>
      </c>
      <c r="AG8" s="15" t="s">
        <v>35</v>
      </c>
      <c r="AH8" s="15">
        <f t="shared" si="3"/>
        <v>-15</v>
      </c>
      <c r="AI8" s="15"/>
      <c r="AJ8" s="15" t="s">
        <v>61</v>
      </c>
    </row>
    <row r="9" ht="15.75" customHeight="1">
      <c r="A9" s="15" t="s">
        <v>256</v>
      </c>
      <c r="B9" s="16" t="s">
        <v>275</v>
      </c>
      <c r="C9" s="15" t="s">
        <v>276</v>
      </c>
      <c r="D9" s="15" t="s">
        <v>277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>TEXT(D9-C9,"[mm]")/60</f>
        <v>0.05</v>
      </c>
      <c r="V9" s="18" t="s">
        <v>33</v>
      </c>
      <c r="W9" s="18" t="s">
        <v>33</v>
      </c>
      <c r="X9" s="18" t="s">
        <v>33</v>
      </c>
      <c r="Y9" s="18" t="s">
        <v>33</v>
      </c>
      <c r="Z9" s="18" t="s">
        <v>33</v>
      </c>
      <c r="AA9" s="18" t="s">
        <v>33</v>
      </c>
      <c r="AB9" s="18" t="s">
        <v>33</v>
      </c>
      <c r="AC9" s="18" t="s">
        <v>33</v>
      </c>
      <c r="AD9" s="15">
        <f>AVERAGE(U9:AC9)</f>
        <v>0.05</v>
      </c>
      <c r="AE9" s="15" t="s">
        <v>34</v>
      </c>
      <c r="AF9" s="15" t="s">
        <v>35</v>
      </c>
      <c r="AG9" s="15" t="s">
        <v>35</v>
      </c>
      <c r="AH9" s="15">
        <f t="shared" si="3"/>
        <v>10</v>
      </c>
      <c r="AI9" s="15"/>
      <c r="AJ9" s="15" t="s">
        <v>61</v>
      </c>
    </row>
    <row r="10" ht="15.75" customHeight="1">
      <c r="A10" s="15" t="s">
        <v>256</v>
      </c>
      <c r="B10" s="16" t="s">
        <v>278</v>
      </c>
      <c r="C10" s="15" t="s">
        <v>279</v>
      </c>
      <c r="D10" s="15" t="s">
        <v>33</v>
      </c>
      <c r="E10" s="15" t="s">
        <v>280</v>
      </c>
      <c r="F10" s="15" t="s">
        <v>33</v>
      </c>
      <c r="G10" s="15" t="s">
        <v>281</v>
      </c>
      <c r="H10" s="15" t="s">
        <v>33</v>
      </c>
      <c r="I10" s="15" t="s">
        <v>282</v>
      </c>
      <c r="J10" s="15" t="s">
        <v>33</v>
      </c>
      <c r="K10" s="15" t="s">
        <v>283</v>
      </c>
      <c r="L10" s="15" t="s">
        <v>33</v>
      </c>
      <c r="M10" s="15" t="s">
        <v>284</v>
      </c>
      <c r="N10" s="15" t="s">
        <v>33</v>
      </c>
      <c r="O10" s="15" t="s">
        <v>285</v>
      </c>
      <c r="P10" s="15" t="s">
        <v>33</v>
      </c>
      <c r="Q10" s="15" t="s">
        <v>286</v>
      </c>
      <c r="R10" s="15" t="s">
        <v>33</v>
      </c>
      <c r="S10" s="15" t="s">
        <v>287</v>
      </c>
      <c r="T10" s="15" t="s">
        <v>33</v>
      </c>
      <c r="U10" s="20" t="s">
        <v>33</v>
      </c>
      <c r="V10" s="18" t="s">
        <v>33</v>
      </c>
      <c r="W10" s="18" t="s">
        <v>33</v>
      </c>
      <c r="X10" s="18" t="s">
        <v>33</v>
      </c>
      <c r="Y10" s="18" t="s">
        <v>33</v>
      </c>
      <c r="Z10" s="18" t="s">
        <v>33</v>
      </c>
      <c r="AA10" s="18" t="s">
        <v>33</v>
      </c>
      <c r="AB10" s="18" t="s">
        <v>33</v>
      </c>
      <c r="AC10" s="18" t="s">
        <v>33</v>
      </c>
      <c r="AD10" s="20" t="s">
        <v>33</v>
      </c>
      <c r="AE10" s="15" t="s">
        <v>35</v>
      </c>
      <c r="AF10" s="15" t="s">
        <v>35</v>
      </c>
      <c r="AG10" s="15" t="s">
        <v>35</v>
      </c>
      <c r="AH10" s="15">
        <f t="shared" si="3"/>
        <v>-15</v>
      </c>
      <c r="AI10" s="15"/>
      <c r="AJ10" s="15" t="s">
        <v>61</v>
      </c>
    </row>
    <row r="11" ht="15.75" customHeight="1">
      <c r="A11" s="15" t="s">
        <v>256</v>
      </c>
      <c r="B11" s="16" t="s">
        <v>288</v>
      </c>
      <c r="C11" s="15" t="s">
        <v>289</v>
      </c>
      <c r="D11" s="15" t="s">
        <v>290</v>
      </c>
      <c r="E11" s="15" t="s">
        <v>291</v>
      </c>
      <c r="F11" s="15" t="s">
        <v>292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ref="U11:U12" si="6">TEXT(D11-C11,"[mm]")/60</f>
        <v>0.06666666667</v>
      </c>
      <c r="V11" s="15">
        <f>TEXT(F11-E11,"[mm]")/60</f>
        <v>0.05</v>
      </c>
      <c r="W11" s="18" t="s">
        <v>33</v>
      </c>
      <c r="X11" s="18" t="s">
        <v>33</v>
      </c>
      <c r="Y11" s="18" t="s">
        <v>33</v>
      </c>
      <c r="Z11" s="18" t="s">
        <v>33</v>
      </c>
      <c r="AA11" s="18" t="s">
        <v>33</v>
      </c>
      <c r="AB11" s="18" t="s">
        <v>33</v>
      </c>
      <c r="AC11" s="18" t="s">
        <v>33</v>
      </c>
      <c r="AD11" s="15">
        <f t="shared" ref="AD11:AD12" si="7">AVERAGE(U11:AC11)</f>
        <v>0.05833333333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256</v>
      </c>
      <c r="B12" s="16" t="s">
        <v>293</v>
      </c>
      <c r="C12" s="15" t="s">
        <v>294</v>
      </c>
      <c r="D12" s="15" t="s">
        <v>274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6"/>
        <v>0.3166666667</v>
      </c>
      <c r="V12" s="18" t="s">
        <v>33</v>
      </c>
      <c r="W12" s="18" t="s">
        <v>33</v>
      </c>
      <c r="X12" s="18" t="s">
        <v>33</v>
      </c>
      <c r="Y12" s="18" t="s">
        <v>33</v>
      </c>
      <c r="Z12" s="18" t="s">
        <v>33</v>
      </c>
      <c r="AA12" s="18" t="s">
        <v>33</v>
      </c>
      <c r="AB12" s="18" t="s">
        <v>33</v>
      </c>
      <c r="AC12" s="18" t="s">
        <v>33</v>
      </c>
      <c r="AD12" s="15">
        <f t="shared" si="7"/>
        <v>0.3166666667</v>
      </c>
      <c r="AE12" s="15" t="s">
        <v>34</v>
      </c>
      <c r="AF12" s="15" t="s">
        <v>35</v>
      </c>
      <c r="AG12" s="15" t="s">
        <v>35</v>
      </c>
      <c r="AH12" s="15">
        <f t="shared" si="3"/>
        <v>10</v>
      </c>
      <c r="AI12" s="15"/>
      <c r="AJ12" s="15" t="s">
        <v>61</v>
      </c>
    </row>
    <row r="13" ht="15.75" customHeight="1">
      <c r="A13" s="15" t="s">
        <v>256</v>
      </c>
      <c r="B13" s="16" t="s">
        <v>295</v>
      </c>
      <c r="C13" s="15" t="s">
        <v>296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20" t="s">
        <v>33</v>
      </c>
      <c r="V13" s="18" t="s">
        <v>33</v>
      </c>
      <c r="W13" s="18" t="s">
        <v>33</v>
      </c>
      <c r="X13" s="18" t="s">
        <v>33</v>
      </c>
      <c r="Y13" s="18" t="s">
        <v>33</v>
      </c>
      <c r="Z13" s="18" t="s">
        <v>33</v>
      </c>
      <c r="AA13" s="18" t="s">
        <v>33</v>
      </c>
      <c r="AB13" s="18" t="s">
        <v>33</v>
      </c>
      <c r="AC13" s="18" t="s">
        <v>33</v>
      </c>
      <c r="AD13" s="20" t="s">
        <v>33</v>
      </c>
      <c r="AE13" s="15" t="s">
        <v>35</v>
      </c>
      <c r="AF13" s="15" t="s">
        <v>35</v>
      </c>
      <c r="AG13" s="15" t="s">
        <v>35</v>
      </c>
      <c r="AH13" s="15">
        <f t="shared" si="3"/>
        <v>-15</v>
      </c>
      <c r="AI13" s="15"/>
      <c r="AJ13" s="15" t="s">
        <v>61</v>
      </c>
    </row>
    <row r="14" ht="15.75" customHeight="1">
      <c r="A14" s="15" t="s">
        <v>256</v>
      </c>
      <c r="B14" s="16" t="s">
        <v>297</v>
      </c>
      <c r="C14" s="15" t="s">
        <v>298</v>
      </c>
      <c r="D14" s="15" t="s">
        <v>299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ref="U14:U15" si="8">TEXT(D14-C14,"[mm]")/60</f>
        <v>0.08333333333</v>
      </c>
      <c r="V14" s="18" t="s">
        <v>33</v>
      </c>
      <c r="W14" s="18" t="s">
        <v>33</v>
      </c>
      <c r="X14" s="18" t="s">
        <v>33</v>
      </c>
      <c r="Y14" s="18" t="s">
        <v>33</v>
      </c>
      <c r="Z14" s="18" t="s">
        <v>33</v>
      </c>
      <c r="AA14" s="18" t="s">
        <v>33</v>
      </c>
      <c r="AB14" s="18" t="s">
        <v>33</v>
      </c>
      <c r="AC14" s="18" t="s">
        <v>33</v>
      </c>
      <c r="AD14" s="15">
        <f t="shared" ref="AD14:AD15" si="9">AVERAGE(U14:AC14)</f>
        <v>0.08333333333</v>
      </c>
      <c r="AE14" s="15" t="s">
        <v>34</v>
      </c>
      <c r="AF14" s="15" t="s">
        <v>35</v>
      </c>
      <c r="AG14" s="15" t="s">
        <v>35</v>
      </c>
      <c r="AH14" s="15">
        <f t="shared" si="3"/>
        <v>10</v>
      </c>
      <c r="AI14" s="15"/>
      <c r="AJ14" s="15" t="s">
        <v>61</v>
      </c>
    </row>
    <row r="15" ht="15.75" customHeight="1">
      <c r="A15" s="15" t="s">
        <v>256</v>
      </c>
      <c r="B15" s="16" t="s">
        <v>300</v>
      </c>
      <c r="C15" s="15" t="s">
        <v>301</v>
      </c>
      <c r="D15" s="15" t="s">
        <v>296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8"/>
        <v>0.1833333333</v>
      </c>
      <c r="V15" s="18" t="s">
        <v>33</v>
      </c>
      <c r="W15" s="18" t="s">
        <v>33</v>
      </c>
      <c r="X15" s="18" t="s">
        <v>33</v>
      </c>
      <c r="Y15" s="18" t="s">
        <v>33</v>
      </c>
      <c r="Z15" s="18" t="s">
        <v>33</v>
      </c>
      <c r="AA15" s="18" t="s">
        <v>33</v>
      </c>
      <c r="AB15" s="18" t="s">
        <v>33</v>
      </c>
      <c r="AC15" s="18" t="s">
        <v>33</v>
      </c>
      <c r="AD15" s="15">
        <f t="shared" si="9"/>
        <v>0.1833333333</v>
      </c>
      <c r="AE15" s="15" t="s">
        <v>34</v>
      </c>
      <c r="AF15" s="15" t="s">
        <v>35</v>
      </c>
      <c r="AG15" s="15" t="s">
        <v>35</v>
      </c>
      <c r="AH15" s="15">
        <f t="shared" si="3"/>
        <v>10</v>
      </c>
      <c r="AI15" s="15"/>
      <c r="AJ15" s="15" t="s">
        <v>61</v>
      </c>
    </row>
    <row r="16" ht="15.75" customHeight="1">
      <c r="A16" s="15" t="s">
        <v>256</v>
      </c>
      <c r="B16" s="16" t="s">
        <v>302</v>
      </c>
      <c r="C16" s="15" t="s">
        <v>303</v>
      </c>
      <c r="D16" s="15" t="s">
        <v>33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20" t="s">
        <v>33</v>
      </c>
      <c r="V16" s="18" t="s">
        <v>33</v>
      </c>
      <c r="W16" s="18" t="s">
        <v>33</v>
      </c>
      <c r="X16" s="18" t="s">
        <v>33</v>
      </c>
      <c r="Y16" s="18" t="s">
        <v>33</v>
      </c>
      <c r="Z16" s="18" t="s">
        <v>33</v>
      </c>
      <c r="AA16" s="18" t="s">
        <v>33</v>
      </c>
      <c r="AB16" s="18" t="s">
        <v>33</v>
      </c>
      <c r="AC16" s="18" t="s">
        <v>33</v>
      </c>
      <c r="AD16" s="20" t="s">
        <v>33</v>
      </c>
      <c r="AE16" s="15" t="s">
        <v>35</v>
      </c>
      <c r="AF16" s="15" t="s">
        <v>35</v>
      </c>
      <c r="AG16" s="15" t="s">
        <v>35</v>
      </c>
      <c r="AH16" s="15">
        <f t="shared" si="3"/>
        <v>-15</v>
      </c>
      <c r="AI16" s="15"/>
      <c r="AJ16" s="15" t="s">
        <v>61</v>
      </c>
    </row>
    <row r="17" ht="15.75" customHeight="1">
      <c r="A17" s="15" t="s">
        <v>256</v>
      </c>
      <c r="B17" s="16" t="s">
        <v>304</v>
      </c>
      <c r="C17" s="15" t="s">
        <v>305</v>
      </c>
      <c r="D17" s="15" t="s">
        <v>306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ref="U17:U20" si="10">TEXT(D17-C17,"[mm]")/60</f>
        <v>0.05</v>
      </c>
      <c r="V17" s="18" t="s">
        <v>33</v>
      </c>
      <c r="W17" s="18" t="s">
        <v>33</v>
      </c>
      <c r="X17" s="18" t="s">
        <v>33</v>
      </c>
      <c r="Y17" s="18" t="s">
        <v>33</v>
      </c>
      <c r="Z17" s="18" t="s">
        <v>33</v>
      </c>
      <c r="AA17" s="18" t="s">
        <v>33</v>
      </c>
      <c r="AB17" s="18" t="s">
        <v>33</v>
      </c>
      <c r="AC17" s="18" t="s">
        <v>33</v>
      </c>
      <c r="AD17" s="15">
        <f t="shared" ref="AD17:AD20" si="11">AVERAGE(U17:AC17)</f>
        <v>0.05</v>
      </c>
      <c r="AE17" s="15" t="s">
        <v>34</v>
      </c>
      <c r="AF17" s="15" t="s">
        <v>35</v>
      </c>
      <c r="AG17" s="15" t="s">
        <v>35</v>
      </c>
      <c r="AH17" s="15">
        <f t="shared" si="3"/>
        <v>10</v>
      </c>
      <c r="AI17" s="15"/>
      <c r="AJ17" s="15" t="s">
        <v>61</v>
      </c>
    </row>
    <row r="18" ht="15.75" customHeight="1">
      <c r="A18" s="15" t="s">
        <v>256</v>
      </c>
      <c r="B18" s="16" t="s">
        <v>307</v>
      </c>
      <c r="C18" s="15" t="s">
        <v>308</v>
      </c>
      <c r="D18" s="15" t="s">
        <v>309</v>
      </c>
      <c r="E18" s="15" t="s">
        <v>33</v>
      </c>
      <c r="F18" s="15" t="s">
        <v>310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10"/>
        <v>0.2666666667</v>
      </c>
      <c r="V18" s="18" t="s">
        <v>33</v>
      </c>
      <c r="W18" s="18" t="s">
        <v>33</v>
      </c>
      <c r="X18" s="18" t="s">
        <v>33</v>
      </c>
      <c r="Y18" s="18" t="s">
        <v>33</v>
      </c>
      <c r="Z18" s="18" t="s">
        <v>33</v>
      </c>
      <c r="AA18" s="18" t="s">
        <v>33</v>
      </c>
      <c r="AB18" s="18" t="s">
        <v>33</v>
      </c>
      <c r="AC18" s="18" t="s">
        <v>33</v>
      </c>
      <c r="AD18" s="15">
        <f t="shared" si="11"/>
        <v>0.2666666667</v>
      </c>
      <c r="AE18" s="15" t="s">
        <v>34</v>
      </c>
      <c r="AF18" s="15" t="s">
        <v>35</v>
      </c>
      <c r="AG18" s="15" t="s">
        <v>35</v>
      </c>
      <c r="AH18" s="15">
        <f t="shared" si="3"/>
        <v>10</v>
      </c>
      <c r="AI18" s="15"/>
      <c r="AJ18" s="15" t="s">
        <v>61</v>
      </c>
    </row>
    <row r="19" ht="15.75" customHeight="1">
      <c r="A19" s="15" t="s">
        <v>256</v>
      </c>
      <c r="B19" s="16" t="s">
        <v>311</v>
      </c>
      <c r="C19" s="15" t="s">
        <v>312</v>
      </c>
      <c r="D19" s="15" t="s">
        <v>313</v>
      </c>
      <c r="E19" s="15" t="s">
        <v>33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10"/>
        <v>0.03333333333</v>
      </c>
      <c r="V19" s="18" t="s">
        <v>33</v>
      </c>
      <c r="W19" s="18" t="s">
        <v>33</v>
      </c>
      <c r="X19" s="18" t="s">
        <v>33</v>
      </c>
      <c r="Y19" s="18" t="s">
        <v>33</v>
      </c>
      <c r="Z19" s="18" t="s">
        <v>33</v>
      </c>
      <c r="AA19" s="18" t="s">
        <v>33</v>
      </c>
      <c r="AB19" s="18" t="s">
        <v>33</v>
      </c>
      <c r="AC19" s="18" t="s">
        <v>33</v>
      </c>
      <c r="AD19" s="15">
        <f t="shared" si="11"/>
        <v>0.03333333333</v>
      </c>
      <c r="AE19" s="15" t="s">
        <v>34</v>
      </c>
      <c r="AF19" s="15" t="s">
        <v>35</v>
      </c>
      <c r="AG19" s="15" t="s">
        <v>35</v>
      </c>
      <c r="AH19" s="15">
        <f t="shared" si="3"/>
        <v>10</v>
      </c>
      <c r="AI19" s="15"/>
      <c r="AJ19" s="15" t="s">
        <v>61</v>
      </c>
    </row>
    <row r="20" ht="15.75" customHeight="1">
      <c r="A20" s="15" t="s">
        <v>256</v>
      </c>
      <c r="B20" s="16" t="s">
        <v>314</v>
      </c>
      <c r="C20" s="15" t="s">
        <v>315</v>
      </c>
      <c r="D20" s="15" t="s">
        <v>303</v>
      </c>
      <c r="E20" s="15" t="s">
        <v>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10"/>
        <v>0.1166666667</v>
      </c>
      <c r="V20" s="18" t="s">
        <v>33</v>
      </c>
      <c r="W20" s="18" t="s">
        <v>33</v>
      </c>
      <c r="X20" s="18" t="s">
        <v>33</v>
      </c>
      <c r="Y20" s="18" t="s">
        <v>33</v>
      </c>
      <c r="Z20" s="18" t="s">
        <v>33</v>
      </c>
      <c r="AA20" s="18" t="s">
        <v>33</v>
      </c>
      <c r="AB20" s="18" t="s">
        <v>33</v>
      </c>
      <c r="AC20" s="18" t="s">
        <v>33</v>
      </c>
      <c r="AD20" s="15">
        <f t="shared" si="11"/>
        <v>0.1166666667</v>
      </c>
      <c r="AE20" s="15" t="s">
        <v>34</v>
      </c>
      <c r="AF20" s="15" t="s">
        <v>35</v>
      </c>
      <c r="AG20" s="15" t="s">
        <v>35</v>
      </c>
      <c r="AH20" s="15">
        <f t="shared" si="3"/>
        <v>10</v>
      </c>
      <c r="AI20" s="15"/>
      <c r="AJ20" s="15" t="s">
        <v>61</v>
      </c>
    </row>
    <row r="21" ht="15.75" customHeight="1">
      <c r="A21" s="15" t="s">
        <v>256</v>
      </c>
      <c r="B21" s="16" t="s">
        <v>316</v>
      </c>
      <c r="C21" s="15" t="s">
        <v>317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20" t="s">
        <v>33</v>
      </c>
      <c r="V21" s="18" t="s">
        <v>33</v>
      </c>
      <c r="W21" s="18" t="s">
        <v>33</v>
      </c>
      <c r="X21" s="18" t="s">
        <v>33</v>
      </c>
      <c r="Y21" s="18" t="s">
        <v>33</v>
      </c>
      <c r="Z21" s="18" t="s">
        <v>33</v>
      </c>
      <c r="AA21" s="18" t="s">
        <v>33</v>
      </c>
      <c r="AB21" s="18" t="s">
        <v>33</v>
      </c>
      <c r="AC21" s="18" t="s">
        <v>33</v>
      </c>
      <c r="AD21" s="20" t="s">
        <v>33</v>
      </c>
      <c r="AE21" s="15" t="s">
        <v>35</v>
      </c>
      <c r="AF21" s="15" t="s">
        <v>35</v>
      </c>
      <c r="AG21" s="15" t="s">
        <v>35</v>
      </c>
      <c r="AH21" s="15">
        <f t="shared" si="3"/>
        <v>-15</v>
      </c>
      <c r="AI21" s="15"/>
      <c r="AJ21" s="15" t="s">
        <v>61</v>
      </c>
    </row>
    <row r="22" ht="15.75" customHeight="1">
      <c r="A22" s="15" t="s">
        <v>256</v>
      </c>
      <c r="B22" s="16" t="s">
        <v>318</v>
      </c>
      <c r="C22" s="15" t="s">
        <v>319</v>
      </c>
      <c r="D22" s="15" t="s">
        <v>320</v>
      </c>
      <c r="E22" s="15" t="s">
        <v>321</v>
      </c>
      <c r="F22" s="15" t="s">
        <v>322</v>
      </c>
      <c r="G22" s="15" t="s">
        <v>323</v>
      </c>
      <c r="H22" s="15" t="s">
        <v>324</v>
      </c>
      <c r="I22" s="15" t="s">
        <v>325</v>
      </c>
      <c r="J22" s="15" t="s">
        <v>33</v>
      </c>
      <c r="K22" s="15" t="s">
        <v>326</v>
      </c>
      <c r="L22" s="15" t="s">
        <v>33</v>
      </c>
      <c r="M22" s="15" t="s">
        <v>327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ref="U22:U23" si="12">TEXT(D22-C22,"[mm]")/60</f>
        <v>0.05</v>
      </c>
      <c r="V22" s="15">
        <f>TEXT(F22-E22,"[mm]")/60</f>
        <v>3.05</v>
      </c>
      <c r="W22" s="15">
        <f>TEXT(H22-G22,"[mm]")/60</f>
        <v>385.3166667</v>
      </c>
      <c r="X22" s="18" t="s">
        <v>33</v>
      </c>
      <c r="Y22" s="18" t="s">
        <v>33</v>
      </c>
      <c r="Z22" s="18" t="s">
        <v>33</v>
      </c>
      <c r="AA22" s="18" t="s">
        <v>33</v>
      </c>
      <c r="AB22" s="18" t="s">
        <v>33</v>
      </c>
      <c r="AC22" s="18" t="s">
        <v>33</v>
      </c>
      <c r="AD22" s="15">
        <f t="shared" ref="AD22:AD23" si="13">AVERAGE(U22:AC22)</f>
        <v>129.4722222</v>
      </c>
      <c r="AE22" s="15" t="s">
        <v>34</v>
      </c>
      <c r="AF22" s="15" t="s">
        <v>35</v>
      </c>
      <c r="AG22" s="15" t="s">
        <v>35</v>
      </c>
      <c r="AH22" s="15">
        <f t="shared" si="3"/>
        <v>10</v>
      </c>
      <c r="AI22" s="15"/>
      <c r="AJ22" s="15" t="s">
        <v>61</v>
      </c>
    </row>
    <row r="23" ht="15.75" customHeight="1">
      <c r="A23" s="15" t="s">
        <v>256</v>
      </c>
      <c r="B23" s="16" t="s">
        <v>328</v>
      </c>
      <c r="C23" s="15" t="s">
        <v>329</v>
      </c>
      <c r="D23" s="15" t="s">
        <v>330</v>
      </c>
      <c r="E23" s="15" t="s">
        <v>33</v>
      </c>
      <c r="F23" s="15" t="s">
        <v>331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si="12"/>
        <v>0.2</v>
      </c>
      <c r="V23" s="18" t="s">
        <v>33</v>
      </c>
      <c r="W23" s="18" t="s">
        <v>33</v>
      </c>
      <c r="X23" s="18" t="s">
        <v>33</v>
      </c>
      <c r="Y23" s="18" t="s">
        <v>33</v>
      </c>
      <c r="Z23" s="18" t="s">
        <v>33</v>
      </c>
      <c r="AA23" s="18" t="s">
        <v>33</v>
      </c>
      <c r="AB23" s="18" t="s">
        <v>33</v>
      </c>
      <c r="AC23" s="18" t="s">
        <v>33</v>
      </c>
      <c r="AD23" s="15">
        <f t="shared" si="13"/>
        <v>0.2</v>
      </c>
      <c r="AE23" s="15" t="s">
        <v>34</v>
      </c>
      <c r="AF23" s="15" t="s">
        <v>35</v>
      </c>
      <c r="AG23" s="15" t="s">
        <v>35</v>
      </c>
      <c r="AH23" s="15">
        <f t="shared" si="3"/>
        <v>10</v>
      </c>
      <c r="AI23" s="15"/>
      <c r="AJ23" s="15" t="s">
        <v>61</v>
      </c>
    </row>
    <row r="24" ht="15.75" customHeight="1">
      <c r="A24" s="15" t="s">
        <v>256</v>
      </c>
      <c r="B24" s="16" t="s">
        <v>332</v>
      </c>
      <c r="C24" s="15" t="s">
        <v>333</v>
      </c>
      <c r="D24" s="15" t="s">
        <v>33</v>
      </c>
      <c r="E24" s="15" t="s">
        <v>33</v>
      </c>
      <c r="F24" s="15" t="s">
        <v>33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20" t="s">
        <v>33</v>
      </c>
      <c r="V24" s="18" t="s">
        <v>33</v>
      </c>
      <c r="W24" s="18" t="s">
        <v>33</v>
      </c>
      <c r="X24" s="18" t="s">
        <v>33</v>
      </c>
      <c r="Y24" s="18" t="s">
        <v>33</v>
      </c>
      <c r="Z24" s="18" t="s">
        <v>33</v>
      </c>
      <c r="AA24" s="18" t="s">
        <v>33</v>
      </c>
      <c r="AB24" s="18" t="s">
        <v>33</v>
      </c>
      <c r="AC24" s="18" t="s">
        <v>33</v>
      </c>
      <c r="AD24" s="20" t="s">
        <v>33</v>
      </c>
      <c r="AE24" s="15" t="s">
        <v>35</v>
      </c>
      <c r="AF24" s="15" t="s">
        <v>35</v>
      </c>
      <c r="AG24" s="15" t="s">
        <v>35</v>
      </c>
      <c r="AH24" s="15">
        <f t="shared" si="3"/>
        <v>-15</v>
      </c>
      <c r="AI24" s="15"/>
      <c r="AJ24" s="15" t="s">
        <v>61</v>
      </c>
    </row>
    <row r="25" ht="15.75" customHeight="1">
      <c r="A25" s="15" t="s">
        <v>256</v>
      </c>
      <c r="B25" s="16" t="s">
        <v>334</v>
      </c>
      <c r="C25" s="15" t="s">
        <v>335</v>
      </c>
      <c r="D25" s="15" t="s">
        <v>336</v>
      </c>
      <c r="E25" s="15" t="s">
        <v>337</v>
      </c>
      <c r="F25" s="15" t="s">
        <v>33</v>
      </c>
      <c r="G25" s="15" t="s">
        <v>338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ref="U25:U28" si="14">TEXT(D25-C25,"[mm]")/60</f>
        <v>0.01666666667</v>
      </c>
      <c r="V25" s="18" t="s">
        <v>33</v>
      </c>
      <c r="W25" s="18" t="s">
        <v>33</v>
      </c>
      <c r="X25" s="18" t="s">
        <v>33</v>
      </c>
      <c r="Y25" s="18" t="s">
        <v>33</v>
      </c>
      <c r="Z25" s="18" t="s">
        <v>33</v>
      </c>
      <c r="AA25" s="18" t="s">
        <v>33</v>
      </c>
      <c r="AB25" s="18" t="s">
        <v>33</v>
      </c>
      <c r="AC25" s="18" t="s">
        <v>33</v>
      </c>
      <c r="AD25" s="15">
        <f t="shared" ref="AD25:AD28" si="15">AVERAGE(U25:AC25)</f>
        <v>0.01666666667</v>
      </c>
      <c r="AE25" s="15" t="s">
        <v>34</v>
      </c>
      <c r="AF25" s="15" t="s">
        <v>35</v>
      </c>
      <c r="AG25" s="15" t="s">
        <v>35</v>
      </c>
      <c r="AH25" s="15">
        <f t="shared" si="3"/>
        <v>10</v>
      </c>
      <c r="AI25" s="15"/>
      <c r="AJ25" s="15" t="s">
        <v>61</v>
      </c>
    </row>
    <row r="26" ht="15.75" customHeight="1">
      <c r="A26" s="15" t="s">
        <v>256</v>
      </c>
      <c r="B26" s="16" t="s">
        <v>339</v>
      </c>
      <c r="C26" s="15" t="s">
        <v>340</v>
      </c>
      <c r="D26" s="15" t="s">
        <v>341</v>
      </c>
      <c r="E26" s="15" t="s">
        <v>342</v>
      </c>
      <c r="F26" s="15" t="s">
        <v>343</v>
      </c>
      <c r="G26" s="15" t="s">
        <v>344</v>
      </c>
      <c r="H26" s="15" t="s">
        <v>345</v>
      </c>
      <c r="I26" s="15" t="s">
        <v>33</v>
      </c>
      <c r="J26" s="15" t="s">
        <v>346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14"/>
        <v>0.03333333333</v>
      </c>
      <c r="V26" s="15">
        <f>TEXT(F26-E26,"[mm]")/60</f>
        <v>0.2166666667</v>
      </c>
      <c r="W26" s="15">
        <f>TEXT(H26-G26,"[mm]")/60</f>
        <v>0.1</v>
      </c>
      <c r="X26" s="18" t="s">
        <v>33</v>
      </c>
      <c r="Y26" s="18" t="s">
        <v>33</v>
      </c>
      <c r="Z26" s="18" t="s">
        <v>33</v>
      </c>
      <c r="AA26" s="18" t="s">
        <v>33</v>
      </c>
      <c r="AB26" s="18" t="s">
        <v>33</v>
      </c>
      <c r="AC26" s="18" t="s">
        <v>33</v>
      </c>
      <c r="AD26" s="15">
        <f t="shared" si="15"/>
        <v>0.1166666667</v>
      </c>
      <c r="AE26" s="15" t="s">
        <v>34</v>
      </c>
      <c r="AF26" s="15" t="s">
        <v>35</v>
      </c>
      <c r="AG26" s="15" t="s">
        <v>35</v>
      </c>
      <c r="AH26" s="15">
        <f t="shared" si="3"/>
        <v>10</v>
      </c>
      <c r="AI26" s="15"/>
      <c r="AJ26" s="15" t="s">
        <v>61</v>
      </c>
    </row>
    <row r="27" ht="15.75" customHeight="1">
      <c r="A27" s="15" t="s">
        <v>256</v>
      </c>
      <c r="B27" s="16" t="s">
        <v>347</v>
      </c>
      <c r="C27" s="15" t="s">
        <v>348</v>
      </c>
      <c r="D27" s="15" t="s">
        <v>349</v>
      </c>
      <c r="E27" s="15" t="s">
        <v>350</v>
      </c>
      <c r="F27" s="15" t="s">
        <v>33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14"/>
        <v>0.1</v>
      </c>
      <c r="V27" s="18" t="s">
        <v>33</v>
      </c>
      <c r="W27" s="18" t="s">
        <v>33</v>
      </c>
      <c r="X27" s="18" t="s">
        <v>33</v>
      </c>
      <c r="Y27" s="18" t="s">
        <v>33</v>
      </c>
      <c r="Z27" s="18" t="s">
        <v>33</v>
      </c>
      <c r="AA27" s="18" t="s">
        <v>33</v>
      </c>
      <c r="AB27" s="18" t="s">
        <v>33</v>
      </c>
      <c r="AC27" s="18" t="s">
        <v>33</v>
      </c>
      <c r="AD27" s="15">
        <f t="shared" si="15"/>
        <v>0.1</v>
      </c>
      <c r="AE27" s="15" t="s">
        <v>34</v>
      </c>
      <c r="AF27" s="15" t="s">
        <v>35</v>
      </c>
      <c r="AG27" s="15" t="s">
        <v>35</v>
      </c>
      <c r="AH27" s="15">
        <f t="shared" si="3"/>
        <v>10</v>
      </c>
      <c r="AI27" s="15"/>
      <c r="AJ27" s="15" t="s">
        <v>61</v>
      </c>
    </row>
    <row r="28" ht="15.75" customHeight="1">
      <c r="A28" s="15" t="s">
        <v>256</v>
      </c>
      <c r="B28" s="16" t="s">
        <v>351</v>
      </c>
      <c r="C28" s="15" t="s">
        <v>352</v>
      </c>
      <c r="D28" s="15" t="s">
        <v>353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15">
        <f t="shared" si="14"/>
        <v>0.2333333333</v>
      </c>
      <c r="V28" s="18" t="s">
        <v>33</v>
      </c>
      <c r="W28" s="18" t="s">
        <v>33</v>
      </c>
      <c r="X28" s="18" t="s">
        <v>33</v>
      </c>
      <c r="Y28" s="18" t="s">
        <v>33</v>
      </c>
      <c r="Z28" s="18" t="s">
        <v>33</v>
      </c>
      <c r="AA28" s="18" t="s">
        <v>33</v>
      </c>
      <c r="AB28" s="18" t="s">
        <v>33</v>
      </c>
      <c r="AC28" s="18" t="s">
        <v>33</v>
      </c>
      <c r="AD28" s="15">
        <f t="shared" si="15"/>
        <v>0.2333333333</v>
      </c>
      <c r="AE28" s="15" t="s">
        <v>34</v>
      </c>
      <c r="AF28" s="15" t="s">
        <v>35</v>
      </c>
      <c r="AG28" s="15" t="s">
        <v>35</v>
      </c>
      <c r="AH28" s="15">
        <f t="shared" si="3"/>
        <v>10</v>
      </c>
      <c r="AI28" s="15"/>
      <c r="AJ28" s="15" t="s">
        <v>61</v>
      </c>
    </row>
    <row r="29" ht="15.75" customHeight="1">
      <c r="A29" s="15" t="s">
        <v>256</v>
      </c>
      <c r="B29" s="16" t="s">
        <v>354</v>
      </c>
      <c r="C29" s="15" t="s">
        <v>355</v>
      </c>
      <c r="D29" s="15" t="s">
        <v>33</v>
      </c>
      <c r="E29" s="15" t="s">
        <v>33</v>
      </c>
      <c r="F29" s="15" t="s">
        <v>33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20" t="s">
        <v>33</v>
      </c>
      <c r="V29" s="18" t="s">
        <v>33</v>
      </c>
      <c r="W29" s="18" t="s">
        <v>33</v>
      </c>
      <c r="X29" s="18" t="s">
        <v>33</v>
      </c>
      <c r="Y29" s="18" t="s">
        <v>33</v>
      </c>
      <c r="Z29" s="18" t="s">
        <v>33</v>
      </c>
      <c r="AA29" s="18" t="s">
        <v>33</v>
      </c>
      <c r="AB29" s="18" t="s">
        <v>33</v>
      </c>
      <c r="AC29" s="18" t="s">
        <v>33</v>
      </c>
      <c r="AD29" s="20" t="s">
        <v>33</v>
      </c>
      <c r="AE29" s="15" t="s">
        <v>35</v>
      </c>
      <c r="AF29" s="15" t="s">
        <v>35</v>
      </c>
      <c r="AG29" s="15" t="s">
        <v>35</v>
      </c>
      <c r="AH29" s="15">
        <f t="shared" si="3"/>
        <v>-15</v>
      </c>
      <c r="AI29" s="15"/>
      <c r="AJ29" s="15" t="s">
        <v>61</v>
      </c>
    </row>
    <row r="30" ht="15.75" customHeight="1">
      <c r="A30" s="15" t="s">
        <v>256</v>
      </c>
      <c r="B30" s="16" t="s">
        <v>356</v>
      </c>
      <c r="C30" s="15" t="s">
        <v>357</v>
      </c>
      <c r="D30" s="15" t="s">
        <v>358</v>
      </c>
      <c r="E30" s="15" t="s">
        <v>359</v>
      </c>
      <c r="F30" s="15" t="s">
        <v>33</v>
      </c>
      <c r="G30" s="15" t="s">
        <v>33</v>
      </c>
      <c r="H30" s="15" t="s">
        <v>33</v>
      </c>
      <c r="I30" s="15" t="s">
        <v>33</v>
      </c>
      <c r="J30" s="15" t="s">
        <v>33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ref="U30:U32" si="16">TEXT(D30-C30,"[mm]")/60</f>
        <v>0.1</v>
      </c>
      <c r="V30" s="18" t="s">
        <v>33</v>
      </c>
      <c r="W30" s="18" t="s">
        <v>33</v>
      </c>
      <c r="X30" s="18" t="s">
        <v>33</v>
      </c>
      <c r="Y30" s="18" t="s">
        <v>33</v>
      </c>
      <c r="Z30" s="18" t="s">
        <v>33</v>
      </c>
      <c r="AA30" s="18" t="s">
        <v>33</v>
      </c>
      <c r="AB30" s="18" t="s">
        <v>33</v>
      </c>
      <c r="AC30" s="18" t="s">
        <v>33</v>
      </c>
      <c r="AD30" s="15">
        <f t="shared" ref="AD30:AD32" si="17">AVERAGE(U30:AC30)</f>
        <v>0.1</v>
      </c>
      <c r="AE30" s="15" t="s">
        <v>34</v>
      </c>
      <c r="AF30" s="15" t="s">
        <v>35</v>
      </c>
      <c r="AG30" s="15" t="s">
        <v>35</v>
      </c>
      <c r="AH30" s="15">
        <f t="shared" si="3"/>
        <v>10</v>
      </c>
      <c r="AI30" s="15"/>
      <c r="AJ30" s="15" t="s">
        <v>61</v>
      </c>
    </row>
    <row r="31" ht="15.75" customHeight="1">
      <c r="A31" s="15" t="s">
        <v>256</v>
      </c>
      <c r="B31" s="16" t="s">
        <v>360</v>
      </c>
      <c r="C31" s="15" t="s">
        <v>361</v>
      </c>
      <c r="D31" s="15" t="s">
        <v>362</v>
      </c>
      <c r="E31" s="15" t="s">
        <v>363</v>
      </c>
      <c r="F31" s="15" t="s">
        <v>364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16"/>
        <v>0.01666666667</v>
      </c>
      <c r="V31" s="15">
        <f>TEXT(F31-E31,"[mm]")/60</f>
        <v>0.06666666667</v>
      </c>
      <c r="W31" s="18" t="s">
        <v>33</v>
      </c>
      <c r="X31" s="18" t="s">
        <v>33</v>
      </c>
      <c r="Y31" s="18" t="s">
        <v>33</v>
      </c>
      <c r="Z31" s="18" t="s">
        <v>33</v>
      </c>
      <c r="AA31" s="18" t="s">
        <v>33</v>
      </c>
      <c r="AB31" s="18" t="s">
        <v>33</v>
      </c>
      <c r="AC31" s="18" t="s">
        <v>33</v>
      </c>
      <c r="AD31" s="15">
        <f t="shared" si="17"/>
        <v>0.04166666667</v>
      </c>
      <c r="AE31" s="15" t="s">
        <v>34</v>
      </c>
      <c r="AF31" s="15" t="s">
        <v>35</v>
      </c>
      <c r="AG31" s="15" t="s">
        <v>35</v>
      </c>
      <c r="AH31" s="15">
        <f t="shared" si="3"/>
        <v>10</v>
      </c>
      <c r="AI31" s="15"/>
      <c r="AJ31" s="15" t="s">
        <v>61</v>
      </c>
    </row>
    <row r="32" ht="15.75" customHeight="1">
      <c r="A32" s="15" t="s">
        <v>256</v>
      </c>
      <c r="B32" s="16" t="s">
        <v>365</v>
      </c>
      <c r="C32" s="15" t="s">
        <v>366</v>
      </c>
      <c r="D32" s="15" t="s">
        <v>367</v>
      </c>
      <c r="E32" s="15" t="s">
        <v>33</v>
      </c>
      <c r="F32" s="15" t="s">
        <v>33</v>
      </c>
      <c r="G32" s="15" t="s">
        <v>33</v>
      </c>
      <c r="H32" s="15" t="s">
        <v>33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16"/>
        <v>0.01666666667</v>
      </c>
      <c r="V32" s="18" t="s">
        <v>33</v>
      </c>
      <c r="W32" s="18" t="s">
        <v>33</v>
      </c>
      <c r="X32" s="18" t="s">
        <v>33</v>
      </c>
      <c r="Y32" s="18" t="s">
        <v>33</v>
      </c>
      <c r="Z32" s="18" t="s">
        <v>33</v>
      </c>
      <c r="AA32" s="18" t="s">
        <v>33</v>
      </c>
      <c r="AB32" s="18" t="s">
        <v>33</v>
      </c>
      <c r="AC32" s="18" t="s">
        <v>33</v>
      </c>
      <c r="AD32" s="15">
        <f t="shared" si="17"/>
        <v>0.01666666667</v>
      </c>
      <c r="AE32" s="15" t="s">
        <v>34</v>
      </c>
      <c r="AF32" s="15" t="s">
        <v>35</v>
      </c>
      <c r="AG32" s="15" t="s">
        <v>35</v>
      </c>
      <c r="AH32" s="15">
        <f t="shared" si="3"/>
        <v>10</v>
      </c>
      <c r="AI32" s="15"/>
      <c r="AJ32" s="15" t="s">
        <v>61</v>
      </c>
    </row>
    <row r="33" ht="15.75" customHeight="1">
      <c r="A33" s="15" t="s">
        <v>256</v>
      </c>
      <c r="B33" s="16" t="s">
        <v>368</v>
      </c>
      <c r="C33" s="15" t="s">
        <v>369</v>
      </c>
      <c r="D33" s="15" t="s">
        <v>33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20" t="s">
        <v>33</v>
      </c>
      <c r="V33" s="18" t="s">
        <v>33</v>
      </c>
      <c r="W33" s="18" t="s">
        <v>33</v>
      </c>
      <c r="X33" s="18" t="s">
        <v>33</v>
      </c>
      <c r="Y33" s="18" t="s">
        <v>33</v>
      </c>
      <c r="Z33" s="18" t="s">
        <v>33</v>
      </c>
      <c r="AA33" s="18" t="s">
        <v>33</v>
      </c>
      <c r="AB33" s="18" t="s">
        <v>33</v>
      </c>
      <c r="AC33" s="18" t="s">
        <v>33</v>
      </c>
      <c r="AD33" s="20" t="s">
        <v>33</v>
      </c>
      <c r="AE33" s="15" t="s">
        <v>35</v>
      </c>
      <c r="AF33" s="15" t="s">
        <v>35</v>
      </c>
      <c r="AG33" s="15" t="s">
        <v>35</v>
      </c>
      <c r="AH33" s="15">
        <f t="shared" si="3"/>
        <v>-15</v>
      </c>
      <c r="AI33" s="15"/>
      <c r="AJ33" s="15" t="s">
        <v>61</v>
      </c>
    </row>
    <row r="34" ht="15.75" customHeight="1">
      <c r="A34" s="15" t="s">
        <v>256</v>
      </c>
      <c r="B34" s="16" t="s">
        <v>370</v>
      </c>
      <c r="C34" s="15" t="s">
        <v>371</v>
      </c>
      <c r="D34" s="15" t="s">
        <v>372</v>
      </c>
      <c r="E34" s="15" t="s">
        <v>373</v>
      </c>
      <c r="F34" s="15" t="s">
        <v>374</v>
      </c>
      <c r="G34" s="15" t="s">
        <v>375</v>
      </c>
      <c r="H34" s="15" t="s">
        <v>376</v>
      </c>
      <c r="I34" s="15" t="s">
        <v>377</v>
      </c>
      <c r="J34" s="15" t="s">
        <v>378</v>
      </c>
      <c r="K34" s="15" t="s">
        <v>379</v>
      </c>
      <c r="L34" s="15" t="s">
        <v>380</v>
      </c>
      <c r="M34" s="15" t="s">
        <v>381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15">
        <f t="shared" ref="U34:U37" si="18">TEXT(D34-C34,"[mm]")/60</f>
        <v>0.05</v>
      </c>
      <c r="V34" s="15">
        <f t="shared" ref="V34:V35" si="19">TEXT(F34-E34,"[mm]")/60</f>
        <v>0.1833333333</v>
      </c>
      <c r="W34" s="15">
        <f t="shared" ref="W34:W35" si="20">TEXT(H34-G34,"[mm]")/60</f>
        <v>0.5166666667</v>
      </c>
      <c r="X34" s="15">
        <f t="shared" ref="X34:X35" si="21">TEXT(J34-I34,"[mm]")/60</f>
        <v>59.98333333</v>
      </c>
      <c r="Y34" s="15">
        <f t="shared" ref="Y34:Y35" si="22">TEXT(L34-K34,"[mm]")/60</f>
        <v>490.0833333</v>
      </c>
      <c r="Z34" s="18" t="s">
        <v>33</v>
      </c>
      <c r="AA34" s="18" t="s">
        <v>33</v>
      </c>
      <c r="AB34" s="18" t="s">
        <v>33</v>
      </c>
      <c r="AC34" s="18" t="s">
        <v>33</v>
      </c>
      <c r="AD34" s="15">
        <f t="shared" ref="AD34:AD37" si="23">AVERAGE(U34:AC34)</f>
        <v>110.1633333</v>
      </c>
      <c r="AE34" s="15" t="s">
        <v>34</v>
      </c>
      <c r="AF34" s="15" t="s">
        <v>35</v>
      </c>
      <c r="AG34" s="15" t="s">
        <v>35</v>
      </c>
      <c r="AH34" s="15">
        <f t="shared" si="3"/>
        <v>10</v>
      </c>
      <c r="AI34" s="15"/>
      <c r="AJ34" s="15" t="s">
        <v>61</v>
      </c>
    </row>
    <row r="35" ht="15.75" customHeight="1">
      <c r="A35" s="15" t="s">
        <v>256</v>
      </c>
      <c r="B35" s="16" t="s">
        <v>382</v>
      </c>
      <c r="C35" s="15" t="s">
        <v>383</v>
      </c>
      <c r="D35" s="15" t="s">
        <v>384</v>
      </c>
      <c r="E35" s="15" t="s">
        <v>385</v>
      </c>
      <c r="F35" s="15" t="s">
        <v>386</v>
      </c>
      <c r="G35" s="15" t="s">
        <v>387</v>
      </c>
      <c r="H35" s="15" t="s">
        <v>388</v>
      </c>
      <c r="I35" s="15" t="s">
        <v>389</v>
      </c>
      <c r="J35" s="15" t="s">
        <v>390</v>
      </c>
      <c r="K35" s="15" t="s">
        <v>391</v>
      </c>
      <c r="L35" s="15" t="s">
        <v>392</v>
      </c>
      <c r="M35" s="15" t="s">
        <v>393</v>
      </c>
      <c r="N35" s="15" t="s">
        <v>33</v>
      </c>
      <c r="O35" s="15" t="s">
        <v>394</v>
      </c>
      <c r="P35" s="15" t="s">
        <v>33</v>
      </c>
      <c r="Q35" s="15" t="s">
        <v>395</v>
      </c>
      <c r="R35" s="15" t="s">
        <v>33</v>
      </c>
      <c r="S35" s="15" t="s">
        <v>396</v>
      </c>
      <c r="T35" s="15" t="s">
        <v>33</v>
      </c>
      <c r="U35" s="15">
        <f t="shared" si="18"/>
        <v>0.05</v>
      </c>
      <c r="V35" s="15">
        <f t="shared" si="19"/>
        <v>0.15</v>
      </c>
      <c r="W35" s="15">
        <f t="shared" si="20"/>
        <v>233.3</v>
      </c>
      <c r="X35" s="15">
        <f t="shared" si="21"/>
        <v>483.5666667</v>
      </c>
      <c r="Y35" s="15">
        <f t="shared" si="22"/>
        <v>543.1166667</v>
      </c>
      <c r="Z35" s="18" t="s">
        <v>33</v>
      </c>
      <c r="AA35" s="18" t="s">
        <v>33</v>
      </c>
      <c r="AB35" s="18" t="s">
        <v>33</v>
      </c>
      <c r="AC35" s="18" t="s">
        <v>33</v>
      </c>
      <c r="AD35" s="15">
        <f t="shared" si="23"/>
        <v>252.0366667</v>
      </c>
      <c r="AE35" s="15" t="s">
        <v>34</v>
      </c>
      <c r="AF35" s="15" t="s">
        <v>35</v>
      </c>
      <c r="AG35" s="15" t="s">
        <v>35</v>
      </c>
      <c r="AH35" s="15">
        <f t="shared" si="3"/>
        <v>10</v>
      </c>
      <c r="AI35" s="15"/>
      <c r="AJ35" s="15" t="s">
        <v>61</v>
      </c>
    </row>
    <row r="36" ht="15.75" customHeight="1">
      <c r="A36" s="15" t="s">
        <v>256</v>
      </c>
      <c r="B36" s="16" t="s">
        <v>397</v>
      </c>
      <c r="C36" s="15" t="s">
        <v>398</v>
      </c>
      <c r="D36" s="15" t="s">
        <v>399</v>
      </c>
      <c r="E36" s="15" t="s">
        <v>33</v>
      </c>
      <c r="F36" s="15" t="s">
        <v>33</v>
      </c>
      <c r="G36" s="15" t="s">
        <v>33</v>
      </c>
      <c r="H36" s="15" t="s">
        <v>33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si="18"/>
        <v>0.06666666667</v>
      </c>
      <c r="V36" s="18" t="s">
        <v>33</v>
      </c>
      <c r="W36" s="18" t="s">
        <v>33</v>
      </c>
      <c r="X36" s="18" t="s">
        <v>33</v>
      </c>
      <c r="Y36" s="18" t="s">
        <v>33</v>
      </c>
      <c r="Z36" s="18" t="s">
        <v>33</v>
      </c>
      <c r="AA36" s="18" t="s">
        <v>33</v>
      </c>
      <c r="AB36" s="18" t="s">
        <v>33</v>
      </c>
      <c r="AC36" s="18" t="s">
        <v>33</v>
      </c>
      <c r="AD36" s="15">
        <f t="shared" si="23"/>
        <v>0.06666666667</v>
      </c>
      <c r="AE36" s="15" t="s">
        <v>34</v>
      </c>
      <c r="AF36" s="15" t="s">
        <v>35</v>
      </c>
      <c r="AG36" s="15" t="s">
        <v>35</v>
      </c>
      <c r="AH36" s="15">
        <f t="shared" si="3"/>
        <v>10</v>
      </c>
      <c r="AI36" s="15"/>
      <c r="AJ36" s="15" t="s">
        <v>61</v>
      </c>
    </row>
    <row r="37" ht="15.75" customHeight="1">
      <c r="A37" s="15" t="s">
        <v>256</v>
      </c>
      <c r="B37" s="16" t="s">
        <v>400</v>
      </c>
      <c r="C37" s="15" t="s">
        <v>401</v>
      </c>
      <c r="D37" s="15" t="s">
        <v>402</v>
      </c>
      <c r="E37" s="15" t="s">
        <v>33</v>
      </c>
      <c r="F37" s="15" t="s">
        <v>33</v>
      </c>
      <c r="G37" s="15" t="s">
        <v>33</v>
      </c>
      <c r="H37" s="15" t="s">
        <v>33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 t="shared" si="18"/>
        <v>0.5333333333</v>
      </c>
      <c r="V37" s="18" t="s">
        <v>33</v>
      </c>
      <c r="W37" s="18" t="s">
        <v>33</v>
      </c>
      <c r="X37" s="18" t="s">
        <v>33</v>
      </c>
      <c r="Y37" s="18" t="s">
        <v>33</v>
      </c>
      <c r="Z37" s="18" t="s">
        <v>33</v>
      </c>
      <c r="AA37" s="18" t="s">
        <v>33</v>
      </c>
      <c r="AB37" s="18" t="s">
        <v>33</v>
      </c>
      <c r="AC37" s="18" t="s">
        <v>33</v>
      </c>
      <c r="AD37" s="15">
        <f t="shared" si="23"/>
        <v>0.5333333333</v>
      </c>
      <c r="AE37" s="15" t="s">
        <v>34</v>
      </c>
      <c r="AF37" s="15" t="s">
        <v>35</v>
      </c>
      <c r="AG37" s="15" t="s">
        <v>35</v>
      </c>
      <c r="AH37" s="15">
        <f t="shared" si="3"/>
        <v>10</v>
      </c>
      <c r="AI37" s="15"/>
      <c r="AJ37" s="15" t="s">
        <v>61</v>
      </c>
    </row>
    <row r="38" ht="15.75" customHeight="1">
      <c r="A38" s="15" t="s">
        <v>256</v>
      </c>
      <c r="B38" s="16" t="s">
        <v>403</v>
      </c>
      <c r="C38" s="15" t="s">
        <v>404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18" t="s">
        <v>33</v>
      </c>
      <c r="W38" s="18" t="s">
        <v>33</v>
      </c>
      <c r="X38" s="18" t="s">
        <v>33</v>
      </c>
      <c r="Y38" s="18" t="s">
        <v>33</v>
      </c>
      <c r="Z38" s="18" t="s">
        <v>33</v>
      </c>
      <c r="AA38" s="18" t="s">
        <v>33</v>
      </c>
      <c r="AB38" s="18" t="s">
        <v>33</v>
      </c>
      <c r="AC38" s="18" t="s">
        <v>33</v>
      </c>
      <c r="AD38" s="20" t="s">
        <v>33</v>
      </c>
      <c r="AE38" s="15" t="s">
        <v>35</v>
      </c>
      <c r="AF38" s="15" t="s">
        <v>35</v>
      </c>
      <c r="AG38" s="15" t="s">
        <v>35</v>
      </c>
      <c r="AH38" s="15">
        <f t="shared" si="3"/>
        <v>-15</v>
      </c>
      <c r="AI38" s="15"/>
      <c r="AJ38" s="15" t="s">
        <v>61</v>
      </c>
    </row>
    <row r="39" ht="15.75" customHeight="1">
      <c r="A39" s="15" t="s">
        <v>256</v>
      </c>
      <c r="B39" s="16" t="s">
        <v>405</v>
      </c>
      <c r="C39" s="15" t="s">
        <v>406</v>
      </c>
      <c r="D39" s="15" t="s">
        <v>404</v>
      </c>
      <c r="E39" s="15" t="s">
        <v>407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>TEXT(D39-C39,"[mm]")/60</f>
        <v>0.1666666667</v>
      </c>
      <c r="V39" s="18" t="s">
        <v>33</v>
      </c>
      <c r="W39" s="18" t="s">
        <v>33</v>
      </c>
      <c r="X39" s="18" t="s">
        <v>33</v>
      </c>
      <c r="Y39" s="18" t="s">
        <v>33</v>
      </c>
      <c r="Z39" s="18" t="s">
        <v>33</v>
      </c>
      <c r="AA39" s="18" t="s">
        <v>33</v>
      </c>
      <c r="AB39" s="18" t="s">
        <v>33</v>
      </c>
      <c r="AC39" s="18" t="s">
        <v>33</v>
      </c>
      <c r="AD39" s="15">
        <f>AVERAGE(U39:AC39)</f>
        <v>0.1666666667</v>
      </c>
      <c r="AE39" s="15" t="s">
        <v>34</v>
      </c>
      <c r="AF39" s="15" t="s">
        <v>35</v>
      </c>
      <c r="AG39" s="15" t="s">
        <v>35</v>
      </c>
      <c r="AH39" s="15">
        <f t="shared" si="3"/>
        <v>10</v>
      </c>
      <c r="AI39" s="15"/>
      <c r="AJ39" s="15" t="s">
        <v>61</v>
      </c>
    </row>
    <row r="40" ht="15.75" customHeight="1">
      <c r="A40" s="15" t="s">
        <v>256</v>
      </c>
      <c r="B40" s="16" t="s">
        <v>408</v>
      </c>
      <c r="C40" s="15" t="s">
        <v>409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18" t="s">
        <v>33</v>
      </c>
      <c r="W40" s="18" t="s">
        <v>33</v>
      </c>
      <c r="X40" s="18" t="s">
        <v>33</v>
      </c>
      <c r="Y40" s="18" t="s">
        <v>33</v>
      </c>
      <c r="Z40" s="18" t="s">
        <v>33</v>
      </c>
      <c r="AA40" s="18" t="s">
        <v>33</v>
      </c>
      <c r="AB40" s="18" t="s">
        <v>33</v>
      </c>
      <c r="AC40" s="18" t="s">
        <v>33</v>
      </c>
      <c r="AD40" s="20" t="s">
        <v>33</v>
      </c>
      <c r="AE40" s="15" t="s">
        <v>35</v>
      </c>
      <c r="AF40" s="15" t="s">
        <v>35</v>
      </c>
      <c r="AG40" s="15" t="s">
        <v>35</v>
      </c>
      <c r="AH40" s="15">
        <f t="shared" si="3"/>
        <v>-15</v>
      </c>
      <c r="AI40" s="15"/>
      <c r="AJ40" s="15" t="s">
        <v>61</v>
      </c>
    </row>
    <row r="41" ht="15.75" customHeight="1">
      <c r="A41" s="15" t="s">
        <v>256</v>
      </c>
      <c r="B41" s="16" t="s">
        <v>410</v>
      </c>
      <c r="C41" s="15" t="s">
        <v>411</v>
      </c>
      <c r="D41" s="15" t="s">
        <v>412</v>
      </c>
      <c r="E41" s="15" t="s">
        <v>413</v>
      </c>
      <c r="F41" s="15" t="s">
        <v>414</v>
      </c>
      <c r="G41" s="15" t="s">
        <v>415</v>
      </c>
      <c r="H41" s="15" t="s">
        <v>33</v>
      </c>
      <c r="I41" s="15" t="s">
        <v>416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ref="U41:U54" si="24">TEXT(D41-C41,"[mm]")/60</f>
        <v>0.15</v>
      </c>
      <c r="V41" s="15">
        <f t="shared" ref="V41:V42" si="25">TEXT(F41-E41,"[mm]")/60</f>
        <v>38.41666667</v>
      </c>
      <c r="W41" s="18" t="s">
        <v>33</v>
      </c>
      <c r="X41" s="18" t="s">
        <v>33</v>
      </c>
      <c r="Y41" s="18" t="s">
        <v>33</v>
      </c>
      <c r="Z41" s="18" t="s">
        <v>33</v>
      </c>
      <c r="AA41" s="18" t="s">
        <v>33</v>
      </c>
      <c r="AB41" s="18" t="s">
        <v>33</v>
      </c>
      <c r="AC41" s="18" t="s">
        <v>33</v>
      </c>
      <c r="AD41" s="15">
        <f t="shared" ref="AD41:AD54" si="26">AVERAGE(U41:AC41)</f>
        <v>19.28333333</v>
      </c>
      <c r="AE41" s="15" t="s">
        <v>34</v>
      </c>
      <c r="AF41" s="15" t="s">
        <v>35</v>
      </c>
      <c r="AG41" s="15" t="s">
        <v>35</v>
      </c>
      <c r="AH41" s="15">
        <f t="shared" si="3"/>
        <v>10</v>
      </c>
      <c r="AI41" s="15"/>
      <c r="AJ41" s="15" t="s">
        <v>61</v>
      </c>
    </row>
    <row r="42" ht="15.75" customHeight="1">
      <c r="A42" s="15" t="s">
        <v>256</v>
      </c>
      <c r="B42" s="16" t="s">
        <v>417</v>
      </c>
      <c r="C42" s="15" t="s">
        <v>418</v>
      </c>
      <c r="D42" s="15" t="s">
        <v>419</v>
      </c>
      <c r="E42" s="15" t="s">
        <v>420</v>
      </c>
      <c r="F42" s="15" t="s">
        <v>421</v>
      </c>
      <c r="G42" s="15" t="s">
        <v>422</v>
      </c>
      <c r="H42" s="15" t="s">
        <v>423</v>
      </c>
      <c r="I42" s="15" t="s">
        <v>424</v>
      </c>
      <c r="J42" s="15" t="s">
        <v>33</v>
      </c>
      <c r="K42" s="15" t="s">
        <v>425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si="24"/>
        <v>0.5</v>
      </c>
      <c r="V42" s="15">
        <f t="shared" si="25"/>
        <v>0.35</v>
      </c>
      <c r="W42" s="15">
        <f>TEXT(H42-G42,"[mm]")/60</f>
        <v>65.85</v>
      </c>
      <c r="X42" s="18" t="s">
        <v>33</v>
      </c>
      <c r="Y42" s="18" t="s">
        <v>33</v>
      </c>
      <c r="Z42" s="18" t="s">
        <v>33</v>
      </c>
      <c r="AA42" s="18" t="s">
        <v>33</v>
      </c>
      <c r="AB42" s="18" t="s">
        <v>33</v>
      </c>
      <c r="AC42" s="18" t="s">
        <v>33</v>
      </c>
      <c r="AD42" s="15">
        <f t="shared" si="26"/>
        <v>22.23333333</v>
      </c>
      <c r="AE42" s="15" t="s">
        <v>34</v>
      </c>
      <c r="AF42" s="15" t="s">
        <v>35</v>
      </c>
      <c r="AG42" s="15" t="s">
        <v>35</v>
      </c>
      <c r="AH42" s="15">
        <f t="shared" si="3"/>
        <v>10</v>
      </c>
      <c r="AI42" s="15"/>
      <c r="AJ42" s="15" t="s">
        <v>61</v>
      </c>
    </row>
    <row r="43" ht="15.75" customHeight="1">
      <c r="A43" s="15" t="s">
        <v>256</v>
      </c>
      <c r="B43" s="16" t="s">
        <v>426</v>
      </c>
      <c r="C43" s="15" t="s">
        <v>427</v>
      </c>
      <c r="D43" s="15" t="s">
        <v>428</v>
      </c>
      <c r="E43" s="15" t="s">
        <v>33</v>
      </c>
      <c r="F43" s="15" t="s">
        <v>33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24"/>
        <v>0.1833333333</v>
      </c>
      <c r="V43" s="18" t="s">
        <v>33</v>
      </c>
      <c r="W43" s="18" t="s">
        <v>33</v>
      </c>
      <c r="X43" s="18" t="s">
        <v>33</v>
      </c>
      <c r="Y43" s="18" t="s">
        <v>33</v>
      </c>
      <c r="Z43" s="18" t="s">
        <v>33</v>
      </c>
      <c r="AA43" s="18" t="s">
        <v>33</v>
      </c>
      <c r="AB43" s="18" t="s">
        <v>33</v>
      </c>
      <c r="AC43" s="18" t="s">
        <v>33</v>
      </c>
      <c r="AD43" s="15">
        <f t="shared" si="26"/>
        <v>0.1833333333</v>
      </c>
      <c r="AE43" s="15" t="s">
        <v>34</v>
      </c>
      <c r="AF43" s="15" t="s">
        <v>35</v>
      </c>
      <c r="AG43" s="15" t="s">
        <v>35</v>
      </c>
      <c r="AH43" s="15">
        <f t="shared" si="3"/>
        <v>10</v>
      </c>
      <c r="AI43" s="15"/>
      <c r="AJ43" s="15" t="s">
        <v>61</v>
      </c>
    </row>
    <row r="44" ht="15.75" customHeight="1">
      <c r="A44" s="15" t="s">
        <v>256</v>
      </c>
      <c r="B44" s="16" t="s">
        <v>429</v>
      </c>
      <c r="C44" s="15" t="s">
        <v>430</v>
      </c>
      <c r="D44" s="15" t="s">
        <v>431</v>
      </c>
      <c r="E44" s="15" t="s">
        <v>432</v>
      </c>
      <c r="F44" s="15" t="s">
        <v>433</v>
      </c>
      <c r="G44" s="15" t="s">
        <v>434</v>
      </c>
      <c r="H44" s="15" t="s">
        <v>435</v>
      </c>
      <c r="I44" s="15" t="s">
        <v>436</v>
      </c>
      <c r="J44" s="15" t="s">
        <v>437</v>
      </c>
      <c r="K44" s="15" t="s">
        <v>438</v>
      </c>
      <c r="L44" s="15" t="s">
        <v>439</v>
      </c>
      <c r="M44" s="15" t="s">
        <v>440</v>
      </c>
      <c r="N44" s="15" t="s">
        <v>33</v>
      </c>
      <c r="O44" s="15" t="s">
        <v>441</v>
      </c>
      <c r="P44" s="15" t="s">
        <v>33</v>
      </c>
      <c r="Q44" s="15" t="s">
        <v>442</v>
      </c>
      <c r="R44" s="15" t="s">
        <v>33</v>
      </c>
      <c r="S44" s="15" t="s">
        <v>33</v>
      </c>
      <c r="T44" s="15" t="s">
        <v>33</v>
      </c>
      <c r="U44" s="15">
        <f t="shared" si="24"/>
        <v>0.3</v>
      </c>
      <c r="V44" s="15">
        <f t="shared" ref="V44:V45" si="27">TEXT(F44-E44,"[mm]")/60</f>
        <v>0.1166666667</v>
      </c>
      <c r="W44" s="15">
        <f t="shared" ref="W44:W45" si="28">TEXT(H44-G44,"[mm]")/60</f>
        <v>25.93333333</v>
      </c>
      <c r="X44" s="15">
        <f>TEXT(J44-I44,"[mm]")/60</f>
        <v>15.56666667</v>
      </c>
      <c r="Y44" s="15">
        <f>TEXT(L44-K44,"[mm]")/60</f>
        <v>22.8</v>
      </c>
      <c r="Z44" s="18" t="s">
        <v>33</v>
      </c>
      <c r="AA44" s="18" t="s">
        <v>33</v>
      </c>
      <c r="AB44" s="18" t="s">
        <v>33</v>
      </c>
      <c r="AC44" s="18" t="s">
        <v>33</v>
      </c>
      <c r="AD44" s="15">
        <f t="shared" si="26"/>
        <v>12.94333333</v>
      </c>
      <c r="AE44" s="15" t="s">
        <v>34</v>
      </c>
      <c r="AF44" s="15" t="s">
        <v>35</v>
      </c>
      <c r="AG44" s="15" t="s">
        <v>35</v>
      </c>
      <c r="AH44" s="15">
        <f t="shared" si="3"/>
        <v>10</v>
      </c>
      <c r="AI44" s="15"/>
      <c r="AJ44" s="15" t="s">
        <v>61</v>
      </c>
    </row>
    <row r="45" ht="15.75" customHeight="1">
      <c r="A45" s="15" t="s">
        <v>256</v>
      </c>
      <c r="B45" s="16" t="s">
        <v>443</v>
      </c>
      <c r="C45" s="15" t="s">
        <v>444</v>
      </c>
      <c r="D45" s="15" t="s">
        <v>445</v>
      </c>
      <c r="E45" s="19">
        <v>46126.646527777775</v>
      </c>
      <c r="F45" s="19">
        <v>46126.70694444444</v>
      </c>
      <c r="G45" s="15" t="s">
        <v>446</v>
      </c>
      <c r="H45" s="15" t="s">
        <v>447</v>
      </c>
      <c r="I45" s="15" t="s">
        <v>33</v>
      </c>
      <c r="J45" s="15" t="s">
        <v>33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15">
        <f t="shared" si="24"/>
        <v>0.1666666667</v>
      </c>
      <c r="V45" s="15">
        <f t="shared" si="27"/>
        <v>1.45</v>
      </c>
      <c r="W45" s="15">
        <f t="shared" si="28"/>
        <v>0.03333333333</v>
      </c>
      <c r="X45" s="18" t="s">
        <v>33</v>
      </c>
      <c r="Y45" s="18" t="s">
        <v>33</v>
      </c>
      <c r="Z45" s="18" t="s">
        <v>33</v>
      </c>
      <c r="AA45" s="18" t="s">
        <v>33</v>
      </c>
      <c r="AB45" s="18" t="s">
        <v>33</v>
      </c>
      <c r="AC45" s="18" t="s">
        <v>33</v>
      </c>
      <c r="AD45" s="15">
        <f t="shared" si="26"/>
        <v>0.55</v>
      </c>
      <c r="AE45" s="15" t="s">
        <v>34</v>
      </c>
      <c r="AF45" s="15" t="s">
        <v>35</v>
      </c>
      <c r="AG45" s="15" t="s">
        <v>35</v>
      </c>
      <c r="AH45" s="15">
        <f t="shared" si="3"/>
        <v>10</v>
      </c>
      <c r="AI45" s="15"/>
      <c r="AJ45" s="15" t="s">
        <v>61</v>
      </c>
    </row>
    <row r="46" ht="15.75" customHeight="1">
      <c r="A46" s="15" t="s">
        <v>256</v>
      </c>
      <c r="B46" s="16" t="s">
        <v>448</v>
      </c>
      <c r="C46" s="15" t="s">
        <v>449</v>
      </c>
      <c r="D46" s="15" t="s">
        <v>450</v>
      </c>
      <c r="E46" s="15" t="s">
        <v>451</v>
      </c>
      <c r="F46" s="15" t="s">
        <v>33</v>
      </c>
      <c r="G46" s="15" t="s">
        <v>33</v>
      </c>
      <c r="H46" s="15" t="s">
        <v>33</v>
      </c>
      <c r="I46" s="15" t="s">
        <v>33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si="24"/>
        <v>0.01666666667</v>
      </c>
      <c r="V46" s="18" t="s">
        <v>33</v>
      </c>
      <c r="W46" s="18" t="s">
        <v>33</v>
      </c>
      <c r="X46" s="18" t="s">
        <v>33</v>
      </c>
      <c r="Y46" s="18" t="s">
        <v>33</v>
      </c>
      <c r="Z46" s="18" t="s">
        <v>33</v>
      </c>
      <c r="AA46" s="18" t="s">
        <v>33</v>
      </c>
      <c r="AB46" s="18" t="s">
        <v>33</v>
      </c>
      <c r="AC46" s="18" t="s">
        <v>33</v>
      </c>
      <c r="AD46" s="15">
        <f t="shared" si="26"/>
        <v>0.01666666667</v>
      </c>
      <c r="AE46" s="15" t="s">
        <v>34</v>
      </c>
      <c r="AF46" s="15" t="s">
        <v>35</v>
      </c>
      <c r="AG46" s="15" t="s">
        <v>35</v>
      </c>
      <c r="AH46" s="15">
        <f t="shared" si="3"/>
        <v>10</v>
      </c>
      <c r="AI46" s="15"/>
      <c r="AJ46" s="15" t="s">
        <v>61</v>
      </c>
    </row>
    <row r="47" ht="15.75" customHeight="1">
      <c r="A47" s="15" t="s">
        <v>256</v>
      </c>
      <c r="B47" s="16" t="s">
        <v>452</v>
      </c>
      <c r="C47" s="15" t="s">
        <v>453</v>
      </c>
      <c r="D47" s="15" t="s">
        <v>454</v>
      </c>
      <c r="E47" s="15" t="s">
        <v>33</v>
      </c>
      <c r="F47" s="15" t="s">
        <v>33</v>
      </c>
      <c r="G47" s="15" t="s">
        <v>33</v>
      </c>
      <c r="H47" s="15" t="s">
        <v>33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si="24"/>
        <v>0.01666666667</v>
      </c>
      <c r="V47" s="18" t="s">
        <v>33</v>
      </c>
      <c r="W47" s="18" t="s">
        <v>33</v>
      </c>
      <c r="X47" s="18" t="s">
        <v>33</v>
      </c>
      <c r="Y47" s="18" t="s">
        <v>33</v>
      </c>
      <c r="Z47" s="18" t="s">
        <v>33</v>
      </c>
      <c r="AA47" s="18" t="s">
        <v>33</v>
      </c>
      <c r="AB47" s="18" t="s">
        <v>33</v>
      </c>
      <c r="AC47" s="18" t="s">
        <v>33</v>
      </c>
      <c r="AD47" s="15">
        <f t="shared" si="26"/>
        <v>0.01666666667</v>
      </c>
      <c r="AE47" s="15" t="s">
        <v>34</v>
      </c>
      <c r="AF47" s="15" t="s">
        <v>35</v>
      </c>
      <c r="AG47" s="15" t="s">
        <v>35</v>
      </c>
      <c r="AH47" s="15">
        <f t="shared" si="3"/>
        <v>10</v>
      </c>
      <c r="AI47" s="15"/>
      <c r="AJ47" s="15" t="s">
        <v>61</v>
      </c>
    </row>
    <row r="48" ht="15.75" customHeight="1">
      <c r="A48" s="15" t="s">
        <v>256</v>
      </c>
      <c r="B48" s="16" t="s">
        <v>455</v>
      </c>
      <c r="C48" s="15" t="s">
        <v>456</v>
      </c>
      <c r="D48" s="15" t="s">
        <v>457</v>
      </c>
      <c r="E48" s="15" t="s">
        <v>33</v>
      </c>
      <c r="F48" s="15" t="s">
        <v>458</v>
      </c>
      <c r="G48" s="15" t="s">
        <v>33</v>
      </c>
      <c r="H48" s="15" t="s">
        <v>459</v>
      </c>
      <c r="I48" s="15" t="s">
        <v>33</v>
      </c>
      <c r="J48" s="15" t="s">
        <v>33</v>
      </c>
      <c r="K48" s="15" t="s">
        <v>33</v>
      </c>
      <c r="L48" s="15" t="s">
        <v>33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24"/>
        <v>0.01666666667</v>
      </c>
      <c r="V48" s="18" t="s">
        <v>33</v>
      </c>
      <c r="W48" s="18" t="s">
        <v>33</v>
      </c>
      <c r="X48" s="18" t="s">
        <v>33</v>
      </c>
      <c r="Y48" s="18" t="s">
        <v>33</v>
      </c>
      <c r="Z48" s="18" t="s">
        <v>33</v>
      </c>
      <c r="AA48" s="18" t="s">
        <v>33</v>
      </c>
      <c r="AB48" s="18" t="s">
        <v>33</v>
      </c>
      <c r="AC48" s="18" t="s">
        <v>33</v>
      </c>
      <c r="AD48" s="15">
        <f t="shared" si="26"/>
        <v>0.01666666667</v>
      </c>
      <c r="AE48" s="15" t="s">
        <v>34</v>
      </c>
      <c r="AF48" s="15" t="s">
        <v>35</v>
      </c>
      <c r="AG48" s="15" t="s">
        <v>35</v>
      </c>
      <c r="AH48" s="15">
        <f t="shared" si="3"/>
        <v>10</v>
      </c>
      <c r="AI48" s="15"/>
      <c r="AJ48" s="15" t="s">
        <v>61</v>
      </c>
    </row>
    <row r="49" ht="15.75" customHeight="1">
      <c r="A49" s="15" t="s">
        <v>256</v>
      </c>
      <c r="B49" s="16" t="s">
        <v>460</v>
      </c>
      <c r="C49" s="15" t="s">
        <v>461</v>
      </c>
      <c r="D49" s="15" t="s">
        <v>462</v>
      </c>
      <c r="E49" s="15" t="s">
        <v>33</v>
      </c>
      <c r="F49" s="15" t="s">
        <v>33</v>
      </c>
      <c r="G49" s="15" t="s">
        <v>33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24"/>
        <v>0.05</v>
      </c>
      <c r="V49" s="18" t="s">
        <v>33</v>
      </c>
      <c r="W49" s="18" t="s">
        <v>33</v>
      </c>
      <c r="X49" s="18" t="s">
        <v>33</v>
      </c>
      <c r="Y49" s="18" t="s">
        <v>33</v>
      </c>
      <c r="Z49" s="18" t="s">
        <v>33</v>
      </c>
      <c r="AA49" s="18" t="s">
        <v>33</v>
      </c>
      <c r="AB49" s="18" t="s">
        <v>33</v>
      </c>
      <c r="AC49" s="18" t="s">
        <v>33</v>
      </c>
      <c r="AD49" s="15">
        <f t="shared" si="26"/>
        <v>0.05</v>
      </c>
      <c r="AE49" s="15" t="s">
        <v>34</v>
      </c>
      <c r="AF49" s="15" t="s">
        <v>35</v>
      </c>
      <c r="AG49" s="15" t="s">
        <v>35</v>
      </c>
      <c r="AH49" s="15">
        <f t="shared" si="3"/>
        <v>10</v>
      </c>
      <c r="AI49" s="15"/>
      <c r="AJ49" s="15" t="s">
        <v>61</v>
      </c>
    </row>
    <row r="50" ht="15.75" customHeight="1">
      <c r="A50" s="15" t="s">
        <v>256</v>
      </c>
      <c r="B50" s="16" t="s">
        <v>463</v>
      </c>
      <c r="C50" s="15" t="s">
        <v>464</v>
      </c>
      <c r="D50" s="15" t="s">
        <v>465</v>
      </c>
      <c r="E50" s="15" t="s">
        <v>466</v>
      </c>
      <c r="F50" s="15" t="s">
        <v>33</v>
      </c>
      <c r="G50" s="15" t="s">
        <v>33</v>
      </c>
      <c r="H50" s="15" t="s">
        <v>33</v>
      </c>
      <c r="I50" s="15" t="s">
        <v>33</v>
      </c>
      <c r="J50" s="15" t="s">
        <v>33</v>
      </c>
      <c r="K50" s="15" t="s">
        <v>33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24"/>
        <v>8.3</v>
      </c>
      <c r="V50" s="18" t="s">
        <v>33</v>
      </c>
      <c r="W50" s="18" t="s">
        <v>33</v>
      </c>
      <c r="X50" s="18" t="s">
        <v>33</v>
      </c>
      <c r="Y50" s="18" t="s">
        <v>33</v>
      </c>
      <c r="Z50" s="18" t="s">
        <v>33</v>
      </c>
      <c r="AA50" s="18" t="s">
        <v>33</v>
      </c>
      <c r="AB50" s="18" t="s">
        <v>33</v>
      </c>
      <c r="AC50" s="18" t="s">
        <v>33</v>
      </c>
      <c r="AD50" s="15">
        <f t="shared" si="26"/>
        <v>8.3</v>
      </c>
      <c r="AE50" s="15" t="s">
        <v>34</v>
      </c>
      <c r="AF50" s="15" t="s">
        <v>35</v>
      </c>
      <c r="AG50" s="15" t="s">
        <v>35</v>
      </c>
      <c r="AH50" s="15">
        <f t="shared" si="3"/>
        <v>10</v>
      </c>
      <c r="AI50" s="15"/>
      <c r="AJ50" s="15" t="s">
        <v>61</v>
      </c>
    </row>
    <row r="51" ht="15.75" customHeight="1">
      <c r="A51" s="15" t="s">
        <v>256</v>
      </c>
      <c r="B51" s="16" t="s">
        <v>467</v>
      </c>
      <c r="C51" s="15" t="s">
        <v>468</v>
      </c>
      <c r="D51" s="15" t="s">
        <v>469</v>
      </c>
      <c r="E51" s="15" t="s">
        <v>33</v>
      </c>
      <c r="F51" s="15" t="s">
        <v>33</v>
      </c>
      <c r="G51" s="15" t="s">
        <v>33</v>
      </c>
      <c r="H51" s="15" t="s">
        <v>33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15">
        <f t="shared" si="24"/>
        <v>0.05</v>
      </c>
      <c r="V51" s="18" t="s">
        <v>33</v>
      </c>
      <c r="W51" s="18" t="s">
        <v>33</v>
      </c>
      <c r="X51" s="18" t="s">
        <v>33</v>
      </c>
      <c r="Y51" s="18" t="s">
        <v>33</v>
      </c>
      <c r="Z51" s="18" t="s">
        <v>33</v>
      </c>
      <c r="AA51" s="18" t="s">
        <v>33</v>
      </c>
      <c r="AB51" s="18" t="s">
        <v>33</v>
      </c>
      <c r="AC51" s="18" t="s">
        <v>33</v>
      </c>
      <c r="AD51" s="15">
        <f t="shared" si="26"/>
        <v>0.05</v>
      </c>
      <c r="AE51" s="15" t="s">
        <v>34</v>
      </c>
      <c r="AF51" s="15" t="s">
        <v>35</v>
      </c>
      <c r="AG51" s="15" t="s">
        <v>35</v>
      </c>
      <c r="AH51" s="15">
        <f t="shared" si="3"/>
        <v>10</v>
      </c>
      <c r="AI51" s="15"/>
      <c r="AJ51" s="15" t="s">
        <v>61</v>
      </c>
    </row>
    <row r="52" ht="15.75" customHeight="1">
      <c r="A52" s="15" t="s">
        <v>256</v>
      </c>
      <c r="B52" s="16" t="s">
        <v>470</v>
      </c>
      <c r="C52" s="15" t="s">
        <v>471</v>
      </c>
      <c r="D52" s="15" t="s">
        <v>472</v>
      </c>
      <c r="E52" s="15" t="s">
        <v>168</v>
      </c>
      <c r="F52" s="15" t="s">
        <v>473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15">
        <f t="shared" si="24"/>
        <v>0.03333333333</v>
      </c>
      <c r="V52" s="15">
        <f t="shared" ref="V52:V53" si="29">TEXT(F52-E52,"[mm]")/60</f>
        <v>0.03333333333</v>
      </c>
      <c r="W52" s="18" t="s">
        <v>33</v>
      </c>
      <c r="X52" s="18" t="s">
        <v>33</v>
      </c>
      <c r="Y52" s="18" t="s">
        <v>33</v>
      </c>
      <c r="Z52" s="18" t="s">
        <v>33</v>
      </c>
      <c r="AA52" s="18" t="s">
        <v>33</v>
      </c>
      <c r="AB52" s="18" t="s">
        <v>33</v>
      </c>
      <c r="AC52" s="18" t="s">
        <v>33</v>
      </c>
      <c r="AD52" s="15">
        <f t="shared" si="26"/>
        <v>0.03333333333</v>
      </c>
      <c r="AE52" s="15" t="s">
        <v>34</v>
      </c>
      <c r="AF52" s="15" t="s">
        <v>35</v>
      </c>
      <c r="AG52" s="15" t="s">
        <v>35</v>
      </c>
      <c r="AH52" s="15">
        <f t="shared" si="3"/>
        <v>10</v>
      </c>
      <c r="AI52" s="15"/>
      <c r="AJ52" s="15" t="s">
        <v>61</v>
      </c>
    </row>
    <row r="53" ht="15.75" customHeight="1">
      <c r="A53" s="15" t="s">
        <v>256</v>
      </c>
      <c r="B53" s="16" t="s">
        <v>474</v>
      </c>
      <c r="C53" s="15" t="s">
        <v>475</v>
      </c>
      <c r="D53" s="15" t="s">
        <v>476</v>
      </c>
      <c r="E53" s="15" t="s">
        <v>477</v>
      </c>
      <c r="F53" s="15" t="s">
        <v>478</v>
      </c>
      <c r="G53" s="15" t="s">
        <v>479</v>
      </c>
      <c r="H53" s="15" t="s">
        <v>480</v>
      </c>
      <c r="I53" s="15" t="s">
        <v>481</v>
      </c>
      <c r="J53" s="15" t="s">
        <v>482</v>
      </c>
      <c r="K53" s="15" t="s">
        <v>483</v>
      </c>
      <c r="L53" s="15" t="s">
        <v>484</v>
      </c>
      <c r="M53" s="15" t="s">
        <v>485</v>
      </c>
      <c r="N53" s="15" t="s">
        <v>33</v>
      </c>
      <c r="O53" s="15" t="s">
        <v>486</v>
      </c>
      <c r="P53" s="15" t="s">
        <v>33</v>
      </c>
      <c r="Q53" s="15" t="s">
        <v>482</v>
      </c>
      <c r="R53" s="15" t="s">
        <v>33</v>
      </c>
      <c r="S53" s="15" t="s">
        <v>487</v>
      </c>
      <c r="T53" s="15" t="s">
        <v>33</v>
      </c>
      <c r="U53" s="15">
        <f t="shared" si="24"/>
        <v>0.06666666667</v>
      </c>
      <c r="V53" s="15">
        <f t="shared" si="29"/>
        <v>0.08333333333</v>
      </c>
      <c r="W53" s="15">
        <f>TEXT(H53-G53,"[mm]")/60</f>
        <v>0.3166666667</v>
      </c>
      <c r="X53" s="15">
        <f>TEXT(J53-I53,"[mm]")/60</f>
        <v>28.28333333</v>
      </c>
      <c r="Y53" s="15">
        <f>TEXT(L53-K53,"[mm]")/60</f>
        <v>68.06666667</v>
      </c>
      <c r="Z53" s="18" t="s">
        <v>33</v>
      </c>
      <c r="AA53" s="18" t="s">
        <v>33</v>
      </c>
      <c r="AB53" s="18" t="s">
        <v>33</v>
      </c>
      <c r="AC53" s="18" t="s">
        <v>33</v>
      </c>
      <c r="AD53" s="15">
        <f t="shared" si="26"/>
        <v>19.36333333</v>
      </c>
      <c r="AE53" s="15" t="s">
        <v>34</v>
      </c>
      <c r="AF53" s="15" t="s">
        <v>35</v>
      </c>
      <c r="AG53" s="15" t="s">
        <v>35</v>
      </c>
      <c r="AH53" s="15">
        <f t="shared" si="3"/>
        <v>10</v>
      </c>
      <c r="AI53" s="15"/>
      <c r="AJ53" s="15" t="s">
        <v>61</v>
      </c>
    </row>
    <row r="54" ht="15.75" customHeight="1">
      <c r="A54" s="15" t="s">
        <v>256</v>
      </c>
      <c r="B54" s="16" t="s">
        <v>488</v>
      </c>
      <c r="C54" s="15" t="s">
        <v>489</v>
      </c>
      <c r="D54" s="15" t="s">
        <v>490</v>
      </c>
      <c r="E54" s="15" t="s">
        <v>33</v>
      </c>
      <c r="F54" s="15" t="s">
        <v>33</v>
      </c>
      <c r="G54" s="15" t="s">
        <v>33</v>
      </c>
      <c r="H54" s="15" t="s">
        <v>33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15">
        <f t="shared" si="24"/>
        <v>0.03333333333</v>
      </c>
      <c r="V54" s="18" t="s">
        <v>33</v>
      </c>
      <c r="W54" s="18" t="s">
        <v>33</v>
      </c>
      <c r="X54" s="18" t="s">
        <v>33</v>
      </c>
      <c r="Y54" s="18" t="s">
        <v>33</v>
      </c>
      <c r="Z54" s="18" t="s">
        <v>33</v>
      </c>
      <c r="AA54" s="18" t="s">
        <v>33</v>
      </c>
      <c r="AB54" s="18" t="s">
        <v>33</v>
      </c>
      <c r="AC54" s="18" t="s">
        <v>33</v>
      </c>
      <c r="AD54" s="15">
        <f t="shared" si="26"/>
        <v>0.03333333333</v>
      </c>
      <c r="AE54" s="15" t="s">
        <v>34</v>
      </c>
      <c r="AF54" s="15" t="s">
        <v>35</v>
      </c>
      <c r="AG54" s="15" t="s">
        <v>35</v>
      </c>
      <c r="AH54" s="15">
        <f t="shared" si="3"/>
        <v>10</v>
      </c>
      <c r="AI54" s="15"/>
      <c r="AJ54" s="15" t="s">
        <v>61</v>
      </c>
    </row>
    <row r="55" ht="15.75" customHeight="1">
      <c r="A55" s="15" t="s">
        <v>256</v>
      </c>
      <c r="B55" s="16" t="s">
        <v>491</v>
      </c>
      <c r="C55" s="15" t="s">
        <v>492</v>
      </c>
      <c r="D55" s="15" t="s">
        <v>33</v>
      </c>
      <c r="E55" s="15" t="s">
        <v>33</v>
      </c>
      <c r="F55" s="15" t="s">
        <v>33</v>
      </c>
      <c r="G55" s="15" t="s">
        <v>33</v>
      </c>
      <c r="H55" s="15" t="s">
        <v>33</v>
      </c>
      <c r="I55" s="15" t="s">
        <v>33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20" t="s">
        <v>33</v>
      </c>
      <c r="V55" s="18" t="s">
        <v>33</v>
      </c>
      <c r="W55" s="18" t="s">
        <v>33</v>
      </c>
      <c r="X55" s="18" t="s">
        <v>33</v>
      </c>
      <c r="Y55" s="18" t="s">
        <v>33</v>
      </c>
      <c r="Z55" s="18" t="s">
        <v>33</v>
      </c>
      <c r="AA55" s="18" t="s">
        <v>33</v>
      </c>
      <c r="AB55" s="18" t="s">
        <v>33</v>
      </c>
      <c r="AC55" s="18" t="s">
        <v>33</v>
      </c>
      <c r="AD55" s="20" t="s">
        <v>33</v>
      </c>
      <c r="AE55" s="15" t="s">
        <v>35</v>
      </c>
      <c r="AF55" s="15" t="s">
        <v>35</v>
      </c>
      <c r="AG55" s="15" t="s">
        <v>35</v>
      </c>
      <c r="AH55" s="15">
        <f t="shared" si="3"/>
        <v>-15</v>
      </c>
      <c r="AI55" s="15"/>
      <c r="AJ55" s="15" t="s">
        <v>61</v>
      </c>
    </row>
    <row r="56" ht="15.75" customHeight="1">
      <c r="A56" s="15" t="s">
        <v>256</v>
      </c>
      <c r="B56" s="16" t="s">
        <v>493</v>
      </c>
      <c r="C56" s="15" t="s">
        <v>494</v>
      </c>
      <c r="D56" s="15" t="s">
        <v>495</v>
      </c>
      <c r="E56" s="15" t="s">
        <v>33</v>
      </c>
      <c r="F56" s="15" t="s">
        <v>33</v>
      </c>
      <c r="G56" s="15" t="s">
        <v>33</v>
      </c>
      <c r="H56" s="15" t="s">
        <v>33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15">
        <f t="shared" ref="U56:U65" si="30">TEXT(D56-C56,"[mm]")/60</f>
        <v>0.9333333333</v>
      </c>
      <c r="V56" s="18" t="s">
        <v>33</v>
      </c>
      <c r="W56" s="18" t="s">
        <v>33</v>
      </c>
      <c r="X56" s="18" t="s">
        <v>33</v>
      </c>
      <c r="Y56" s="18" t="s">
        <v>33</v>
      </c>
      <c r="Z56" s="18" t="s">
        <v>33</v>
      </c>
      <c r="AA56" s="18" t="s">
        <v>33</v>
      </c>
      <c r="AB56" s="18" t="s">
        <v>33</v>
      </c>
      <c r="AC56" s="18" t="s">
        <v>33</v>
      </c>
      <c r="AD56" s="15">
        <f t="shared" ref="AD56:AD65" si="31">AVERAGE(U56:AC56)</f>
        <v>0.9333333333</v>
      </c>
      <c r="AE56" s="15" t="s">
        <v>34</v>
      </c>
      <c r="AF56" s="15" t="s">
        <v>35</v>
      </c>
      <c r="AG56" s="15" t="s">
        <v>35</v>
      </c>
      <c r="AH56" s="15">
        <f t="shared" si="3"/>
        <v>10</v>
      </c>
      <c r="AI56" s="15"/>
      <c r="AJ56" s="15" t="s">
        <v>61</v>
      </c>
    </row>
    <row r="57" ht="15.75" customHeight="1">
      <c r="A57" s="15" t="s">
        <v>256</v>
      </c>
      <c r="B57" s="16" t="s">
        <v>496</v>
      </c>
      <c r="C57" s="15" t="s">
        <v>497</v>
      </c>
      <c r="D57" s="15" t="s">
        <v>498</v>
      </c>
      <c r="E57" s="15" t="s">
        <v>499</v>
      </c>
      <c r="F57" s="15" t="s">
        <v>500</v>
      </c>
      <c r="G57" s="15" t="s">
        <v>501</v>
      </c>
      <c r="H57" s="15" t="s">
        <v>33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si="30"/>
        <v>0.03333333333</v>
      </c>
      <c r="V57" s="15">
        <f>TEXT(F57-E57,"[mm]")/60</f>
        <v>8.466666667</v>
      </c>
      <c r="W57" s="18" t="s">
        <v>33</v>
      </c>
      <c r="X57" s="18" t="s">
        <v>33</v>
      </c>
      <c r="Y57" s="18" t="s">
        <v>33</v>
      </c>
      <c r="Z57" s="18" t="s">
        <v>33</v>
      </c>
      <c r="AA57" s="18" t="s">
        <v>33</v>
      </c>
      <c r="AB57" s="18" t="s">
        <v>33</v>
      </c>
      <c r="AC57" s="18" t="s">
        <v>33</v>
      </c>
      <c r="AD57" s="15">
        <f t="shared" si="31"/>
        <v>4.25</v>
      </c>
      <c r="AE57" s="15" t="s">
        <v>34</v>
      </c>
      <c r="AF57" s="15" t="s">
        <v>35</v>
      </c>
      <c r="AG57" s="15" t="s">
        <v>35</v>
      </c>
      <c r="AH57" s="15">
        <f t="shared" si="3"/>
        <v>10</v>
      </c>
      <c r="AI57" s="15"/>
      <c r="AJ57" s="15" t="s">
        <v>61</v>
      </c>
    </row>
    <row r="58" ht="15.75" customHeight="1">
      <c r="A58" s="15" t="s">
        <v>256</v>
      </c>
      <c r="B58" s="16" t="s">
        <v>502</v>
      </c>
      <c r="C58" s="15" t="s">
        <v>503</v>
      </c>
      <c r="D58" s="15" t="s">
        <v>504</v>
      </c>
      <c r="E58" s="15" t="s">
        <v>33</v>
      </c>
      <c r="F58" s="15" t="s">
        <v>33</v>
      </c>
      <c r="G58" s="15" t="s">
        <v>33</v>
      </c>
      <c r="H58" s="15" t="s">
        <v>33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si="30"/>
        <v>0.05</v>
      </c>
      <c r="V58" s="18" t="s">
        <v>33</v>
      </c>
      <c r="W58" s="18" t="s">
        <v>33</v>
      </c>
      <c r="X58" s="18" t="s">
        <v>33</v>
      </c>
      <c r="Y58" s="18" t="s">
        <v>33</v>
      </c>
      <c r="Z58" s="18" t="s">
        <v>33</v>
      </c>
      <c r="AA58" s="18" t="s">
        <v>33</v>
      </c>
      <c r="AB58" s="18" t="s">
        <v>33</v>
      </c>
      <c r="AC58" s="18" t="s">
        <v>33</v>
      </c>
      <c r="AD58" s="15">
        <f t="shared" si="31"/>
        <v>0.05</v>
      </c>
      <c r="AE58" s="15" t="s">
        <v>34</v>
      </c>
      <c r="AF58" s="15" t="s">
        <v>35</v>
      </c>
      <c r="AG58" s="15" t="s">
        <v>35</v>
      </c>
      <c r="AH58" s="15">
        <f t="shared" si="3"/>
        <v>10</v>
      </c>
      <c r="AI58" s="15"/>
      <c r="AJ58" s="15" t="s">
        <v>61</v>
      </c>
    </row>
    <row r="59" ht="15.75" customHeight="1">
      <c r="A59" s="15" t="s">
        <v>256</v>
      </c>
      <c r="B59" s="16" t="s">
        <v>505</v>
      </c>
      <c r="C59" s="15" t="s">
        <v>506</v>
      </c>
      <c r="D59" s="15" t="s">
        <v>507</v>
      </c>
      <c r="E59" s="15" t="s">
        <v>33</v>
      </c>
      <c r="F59" s="15" t="s">
        <v>33</v>
      </c>
      <c r="G59" s="15" t="s">
        <v>33</v>
      </c>
      <c r="H59" s="15" t="s">
        <v>33</v>
      </c>
      <c r="I59" s="15" t="s">
        <v>33</v>
      </c>
      <c r="J59" s="15" t="s">
        <v>33</v>
      </c>
      <c r="K59" s="15" t="s">
        <v>33</v>
      </c>
      <c r="L59" s="15" t="s">
        <v>33</v>
      </c>
      <c r="M59" s="15" t="s">
        <v>33</v>
      </c>
      <c r="N59" s="15" t="s">
        <v>33</v>
      </c>
      <c r="O59" s="15" t="s">
        <v>33</v>
      </c>
      <c r="P59" s="15" t="s">
        <v>33</v>
      </c>
      <c r="Q59" s="15" t="s">
        <v>33</v>
      </c>
      <c r="R59" s="15" t="s">
        <v>33</v>
      </c>
      <c r="S59" s="15" t="s">
        <v>33</v>
      </c>
      <c r="T59" s="15" t="s">
        <v>33</v>
      </c>
      <c r="U59" s="15">
        <f t="shared" si="30"/>
        <v>0.2</v>
      </c>
      <c r="V59" s="18" t="s">
        <v>33</v>
      </c>
      <c r="W59" s="18" t="s">
        <v>33</v>
      </c>
      <c r="X59" s="18" t="s">
        <v>33</v>
      </c>
      <c r="Y59" s="18" t="s">
        <v>33</v>
      </c>
      <c r="Z59" s="18" t="s">
        <v>33</v>
      </c>
      <c r="AA59" s="18" t="s">
        <v>33</v>
      </c>
      <c r="AB59" s="18" t="s">
        <v>33</v>
      </c>
      <c r="AC59" s="18" t="s">
        <v>33</v>
      </c>
      <c r="AD59" s="15">
        <f t="shared" si="31"/>
        <v>0.2</v>
      </c>
      <c r="AE59" s="15" t="s">
        <v>34</v>
      </c>
      <c r="AF59" s="15" t="s">
        <v>35</v>
      </c>
      <c r="AG59" s="15" t="s">
        <v>35</v>
      </c>
      <c r="AH59" s="15">
        <f t="shared" si="3"/>
        <v>10</v>
      </c>
      <c r="AI59" s="15"/>
      <c r="AJ59" s="15" t="s">
        <v>61</v>
      </c>
    </row>
    <row r="60" ht="15.75" customHeight="1">
      <c r="A60" s="15" t="s">
        <v>256</v>
      </c>
      <c r="B60" s="16" t="s">
        <v>508</v>
      </c>
      <c r="C60" s="15" t="s">
        <v>509</v>
      </c>
      <c r="D60" s="15" t="s">
        <v>509</v>
      </c>
      <c r="E60" s="15" t="s">
        <v>33</v>
      </c>
      <c r="F60" s="15" t="s">
        <v>33</v>
      </c>
      <c r="G60" s="15" t="s">
        <v>33</v>
      </c>
      <c r="H60" s="15" t="s">
        <v>33</v>
      </c>
      <c r="I60" s="15" t="s">
        <v>33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15">
        <f t="shared" si="30"/>
        <v>0</v>
      </c>
      <c r="V60" s="18" t="s">
        <v>33</v>
      </c>
      <c r="W60" s="18" t="s">
        <v>33</v>
      </c>
      <c r="X60" s="18" t="s">
        <v>33</v>
      </c>
      <c r="Y60" s="18" t="s">
        <v>33</v>
      </c>
      <c r="Z60" s="18" t="s">
        <v>33</v>
      </c>
      <c r="AA60" s="18" t="s">
        <v>33</v>
      </c>
      <c r="AB60" s="18" t="s">
        <v>33</v>
      </c>
      <c r="AC60" s="18" t="s">
        <v>33</v>
      </c>
      <c r="AD60" s="15">
        <f t="shared" si="31"/>
        <v>0</v>
      </c>
      <c r="AE60" s="15" t="s">
        <v>34</v>
      </c>
      <c r="AF60" s="15" t="s">
        <v>35</v>
      </c>
      <c r="AG60" s="15" t="s">
        <v>35</v>
      </c>
      <c r="AH60" s="15">
        <f t="shared" si="3"/>
        <v>10</v>
      </c>
      <c r="AI60" s="15"/>
      <c r="AJ60" s="15" t="s">
        <v>61</v>
      </c>
    </row>
    <row r="61" ht="15.75" customHeight="1">
      <c r="A61" s="15" t="s">
        <v>256</v>
      </c>
      <c r="B61" s="16" t="s">
        <v>510</v>
      </c>
      <c r="C61" s="15" t="s">
        <v>511</v>
      </c>
      <c r="D61" s="15" t="s">
        <v>512</v>
      </c>
      <c r="E61" s="15" t="s">
        <v>513</v>
      </c>
      <c r="F61" s="15" t="s">
        <v>33</v>
      </c>
      <c r="G61" s="15" t="s">
        <v>514</v>
      </c>
      <c r="H61" s="15" t="s">
        <v>33</v>
      </c>
      <c r="I61" s="15" t="s">
        <v>515</v>
      </c>
      <c r="J61" s="15" t="s">
        <v>33</v>
      </c>
      <c r="K61" s="15" t="s">
        <v>516</v>
      </c>
      <c r="L61" s="15" t="s">
        <v>33</v>
      </c>
      <c r="M61" s="15" t="s">
        <v>517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 t="shared" si="30"/>
        <v>0.01666666667</v>
      </c>
      <c r="V61" s="18" t="s">
        <v>33</v>
      </c>
      <c r="W61" s="18" t="s">
        <v>33</v>
      </c>
      <c r="X61" s="18" t="s">
        <v>33</v>
      </c>
      <c r="Y61" s="18" t="s">
        <v>33</v>
      </c>
      <c r="Z61" s="18" t="s">
        <v>33</v>
      </c>
      <c r="AA61" s="18" t="s">
        <v>33</v>
      </c>
      <c r="AB61" s="18" t="s">
        <v>33</v>
      </c>
      <c r="AC61" s="18" t="s">
        <v>33</v>
      </c>
      <c r="AD61" s="15">
        <f t="shared" si="31"/>
        <v>0.01666666667</v>
      </c>
      <c r="AE61" s="15" t="s">
        <v>34</v>
      </c>
      <c r="AF61" s="15" t="s">
        <v>35</v>
      </c>
      <c r="AG61" s="15" t="s">
        <v>35</v>
      </c>
      <c r="AH61" s="15">
        <f t="shared" si="3"/>
        <v>10</v>
      </c>
      <c r="AI61" s="15"/>
      <c r="AJ61" s="15" t="s">
        <v>61</v>
      </c>
    </row>
    <row r="62" ht="15.75" customHeight="1">
      <c r="A62" s="15" t="s">
        <v>256</v>
      </c>
      <c r="B62" s="16" t="s">
        <v>518</v>
      </c>
      <c r="C62" s="15" t="s">
        <v>519</v>
      </c>
      <c r="D62" s="15" t="s">
        <v>520</v>
      </c>
      <c r="E62" s="15" t="s">
        <v>33</v>
      </c>
      <c r="F62" s="15" t="s">
        <v>33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 t="shared" si="30"/>
        <v>0.05</v>
      </c>
      <c r="V62" s="18" t="s">
        <v>33</v>
      </c>
      <c r="W62" s="18" t="s">
        <v>33</v>
      </c>
      <c r="X62" s="18" t="s">
        <v>33</v>
      </c>
      <c r="Y62" s="18" t="s">
        <v>33</v>
      </c>
      <c r="Z62" s="18" t="s">
        <v>33</v>
      </c>
      <c r="AA62" s="18" t="s">
        <v>33</v>
      </c>
      <c r="AB62" s="18" t="s">
        <v>33</v>
      </c>
      <c r="AC62" s="18" t="s">
        <v>33</v>
      </c>
      <c r="AD62" s="15">
        <f t="shared" si="31"/>
        <v>0.05</v>
      </c>
      <c r="AE62" s="15" t="s">
        <v>34</v>
      </c>
      <c r="AF62" s="15" t="s">
        <v>35</v>
      </c>
      <c r="AG62" s="15" t="s">
        <v>35</v>
      </c>
      <c r="AH62" s="15">
        <f t="shared" si="3"/>
        <v>10</v>
      </c>
      <c r="AI62" s="15"/>
      <c r="AJ62" s="15" t="s">
        <v>61</v>
      </c>
    </row>
    <row r="63" ht="15.75" customHeight="1">
      <c r="A63" s="15" t="s">
        <v>256</v>
      </c>
      <c r="B63" s="16" t="s">
        <v>521</v>
      </c>
      <c r="C63" s="15" t="s">
        <v>522</v>
      </c>
      <c r="D63" s="15" t="s">
        <v>523</v>
      </c>
      <c r="E63" s="15" t="s">
        <v>524</v>
      </c>
      <c r="F63" s="15" t="s">
        <v>525</v>
      </c>
      <c r="G63" s="15" t="s">
        <v>526</v>
      </c>
      <c r="H63" s="15" t="s">
        <v>527</v>
      </c>
      <c r="I63" s="15" t="s">
        <v>528</v>
      </c>
      <c r="J63" s="15" t="s">
        <v>529</v>
      </c>
      <c r="K63" s="15" t="s">
        <v>530</v>
      </c>
      <c r="L63" s="15" t="s">
        <v>33</v>
      </c>
      <c r="M63" s="15" t="s">
        <v>531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15">
        <f t="shared" si="30"/>
        <v>0.2</v>
      </c>
      <c r="V63" s="15">
        <f>TEXT(F63-E63,"[mm]")/60</f>
        <v>17.78333333</v>
      </c>
      <c r="W63" s="15">
        <f>TEXT(H63-G63,"[mm]")/60</f>
        <v>8.183333333</v>
      </c>
      <c r="X63" s="15">
        <f>TEXT(J63-I63,"[mm]")/60</f>
        <v>214.6833333</v>
      </c>
      <c r="Y63" s="18" t="s">
        <v>33</v>
      </c>
      <c r="Z63" s="18" t="s">
        <v>33</v>
      </c>
      <c r="AA63" s="18" t="s">
        <v>33</v>
      </c>
      <c r="AB63" s="18" t="s">
        <v>33</v>
      </c>
      <c r="AC63" s="18" t="s">
        <v>33</v>
      </c>
      <c r="AD63" s="15">
        <f t="shared" si="31"/>
        <v>60.2125</v>
      </c>
      <c r="AE63" s="15" t="s">
        <v>34</v>
      </c>
      <c r="AF63" s="15" t="s">
        <v>35</v>
      </c>
      <c r="AG63" s="15" t="s">
        <v>35</v>
      </c>
      <c r="AH63" s="15">
        <f t="shared" si="3"/>
        <v>10</v>
      </c>
      <c r="AI63" s="15"/>
      <c r="AJ63" s="15" t="s">
        <v>61</v>
      </c>
    </row>
    <row r="64" ht="15.75" customHeight="1">
      <c r="A64" s="15" t="s">
        <v>256</v>
      </c>
      <c r="B64" s="16" t="s">
        <v>532</v>
      </c>
      <c r="C64" s="15" t="s">
        <v>533</v>
      </c>
      <c r="D64" s="15" t="s">
        <v>534</v>
      </c>
      <c r="E64" s="15" t="s">
        <v>33</v>
      </c>
      <c r="F64" s="15" t="s">
        <v>33</v>
      </c>
      <c r="G64" s="15" t="s">
        <v>33</v>
      </c>
      <c r="H64" s="15" t="s">
        <v>33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15">
        <f t="shared" si="30"/>
        <v>0.03333333333</v>
      </c>
      <c r="V64" s="18" t="s">
        <v>33</v>
      </c>
      <c r="W64" s="18" t="s">
        <v>33</v>
      </c>
      <c r="X64" s="18" t="s">
        <v>33</v>
      </c>
      <c r="Y64" s="18" t="s">
        <v>33</v>
      </c>
      <c r="Z64" s="18" t="s">
        <v>33</v>
      </c>
      <c r="AA64" s="18" t="s">
        <v>33</v>
      </c>
      <c r="AB64" s="18" t="s">
        <v>33</v>
      </c>
      <c r="AC64" s="18" t="s">
        <v>33</v>
      </c>
      <c r="AD64" s="15">
        <f t="shared" si="31"/>
        <v>0.03333333333</v>
      </c>
      <c r="AE64" s="15" t="s">
        <v>34</v>
      </c>
      <c r="AF64" s="15" t="s">
        <v>35</v>
      </c>
      <c r="AG64" s="15" t="s">
        <v>35</v>
      </c>
      <c r="AH64" s="15">
        <f t="shared" si="3"/>
        <v>10</v>
      </c>
      <c r="AI64" s="15"/>
      <c r="AJ64" s="15" t="s">
        <v>61</v>
      </c>
    </row>
    <row r="65" ht="15.75" customHeight="1">
      <c r="A65" s="15" t="s">
        <v>256</v>
      </c>
      <c r="B65" s="16" t="s">
        <v>535</v>
      </c>
      <c r="C65" s="15" t="s">
        <v>536</v>
      </c>
      <c r="D65" s="15" t="s">
        <v>537</v>
      </c>
      <c r="E65" s="15" t="s">
        <v>33</v>
      </c>
      <c r="F65" s="15" t="s">
        <v>33</v>
      </c>
      <c r="G65" s="15" t="s">
        <v>33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si="30"/>
        <v>0.2</v>
      </c>
      <c r="V65" s="18" t="s">
        <v>33</v>
      </c>
      <c r="W65" s="18" t="s">
        <v>33</v>
      </c>
      <c r="X65" s="18" t="s">
        <v>33</v>
      </c>
      <c r="Y65" s="18" t="s">
        <v>33</v>
      </c>
      <c r="Z65" s="18" t="s">
        <v>33</v>
      </c>
      <c r="AA65" s="18" t="s">
        <v>33</v>
      </c>
      <c r="AB65" s="18" t="s">
        <v>33</v>
      </c>
      <c r="AC65" s="18" t="s">
        <v>33</v>
      </c>
      <c r="AD65" s="15">
        <f t="shared" si="31"/>
        <v>0.2</v>
      </c>
      <c r="AE65" s="15" t="s">
        <v>34</v>
      </c>
      <c r="AF65" s="15" t="s">
        <v>35</v>
      </c>
      <c r="AG65" s="15" t="s">
        <v>35</v>
      </c>
      <c r="AH65" s="15">
        <f t="shared" si="3"/>
        <v>10</v>
      </c>
      <c r="AI65" s="15"/>
      <c r="AJ65" s="15" t="s">
        <v>61</v>
      </c>
    </row>
    <row r="66" ht="15.75" customHeight="1">
      <c r="A66" s="15" t="s">
        <v>256</v>
      </c>
      <c r="B66" s="16" t="s">
        <v>538</v>
      </c>
      <c r="C66" s="15" t="s">
        <v>539</v>
      </c>
      <c r="D66" s="15" t="s">
        <v>540</v>
      </c>
      <c r="E66" s="15" t="s">
        <v>33</v>
      </c>
      <c r="F66" s="15" t="s">
        <v>33</v>
      </c>
      <c r="G66" s="15" t="s">
        <v>33</v>
      </c>
      <c r="H66" s="15" t="s">
        <v>33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 t="s">
        <v>541</v>
      </c>
      <c r="V66" s="18" t="s">
        <v>33</v>
      </c>
      <c r="W66" s="18" t="s">
        <v>33</v>
      </c>
      <c r="X66" s="18" t="s">
        <v>33</v>
      </c>
      <c r="Y66" s="18" t="s">
        <v>33</v>
      </c>
      <c r="Z66" s="18" t="s">
        <v>33</v>
      </c>
      <c r="AA66" s="18" t="s">
        <v>33</v>
      </c>
      <c r="AB66" s="18" t="s">
        <v>33</v>
      </c>
      <c r="AC66" s="18" t="s">
        <v>33</v>
      </c>
      <c r="AD66" s="20" t="s">
        <v>33</v>
      </c>
      <c r="AE66" s="15" t="s">
        <v>34</v>
      </c>
      <c r="AF66" s="15" t="s">
        <v>35</v>
      </c>
      <c r="AG66" s="15" t="s">
        <v>35</v>
      </c>
      <c r="AH66" s="15">
        <f t="shared" si="3"/>
        <v>10</v>
      </c>
      <c r="AI66" s="15"/>
      <c r="AJ66" s="15" t="s">
        <v>61</v>
      </c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>
        <f>AVERAGE(AD3:AD66)</f>
        <v>12.62368736</v>
      </c>
      <c r="AE67" s="22"/>
      <c r="AF67" s="22"/>
      <c r="AG67" s="22"/>
      <c r="AH67" s="22">
        <f>SUM(AH3:AH66)</f>
        <v>340</v>
      </c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</hyperlinks>
  <printOptions/>
  <pageMargins bottom="1.0" footer="0.0" header="0.0" left="0.75" right="0.75" top="1.0"/>
  <pageSetup orientation="landscape"/>
  <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59.29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542</v>
      </c>
      <c r="B3" s="23" t="s">
        <v>543</v>
      </c>
      <c r="C3" s="15" t="s">
        <v>544</v>
      </c>
      <c r="D3" s="15" t="s">
        <v>545</v>
      </c>
      <c r="E3" s="15" t="s">
        <v>33</v>
      </c>
      <c r="F3" s="15" t="s">
        <v>546</v>
      </c>
      <c r="G3" s="15" t="s">
        <v>33</v>
      </c>
      <c r="H3" s="15" t="s">
        <v>547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>TEXT(D3-C3,"[mm]")/60</f>
        <v>12.38333333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>AVERAGE(U3:AC3)</f>
        <v>12.38333333</v>
      </c>
      <c r="AE3" s="15" t="s">
        <v>34</v>
      </c>
      <c r="AF3" s="15" t="s">
        <v>35</v>
      </c>
      <c r="AG3" s="15" t="s">
        <v>35</v>
      </c>
      <c r="AH3" s="15">
        <f t="shared" ref="AH3:AH103" si="1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542</v>
      </c>
      <c r="B4" s="23" t="s">
        <v>548</v>
      </c>
      <c r="C4" s="15" t="s">
        <v>549</v>
      </c>
      <c r="D4" s="15" t="s">
        <v>33</v>
      </c>
      <c r="E4" s="15" t="s">
        <v>550</v>
      </c>
      <c r="F4" s="15" t="s">
        <v>33</v>
      </c>
      <c r="G4" s="15" t="s">
        <v>551</v>
      </c>
      <c r="H4" s="15" t="s">
        <v>33</v>
      </c>
      <c r="I4" s="15" t="s">
        <v>552</v>
      </c>
      <c r="J4" s="15" t="s">
        <v>33</v>
      </c>
      <c r="K4" s="15" t="s">
        <v>553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20" t="s">
        <v>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20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542</v>
      </c>
      <c r="B5" s="23" t="s">
        <v>554</v>
      </c>
      <c r="C5" s="15" t="s">
        <v>555</v>
      </c>
      <c r="D5" s="15" t="s">
        <v>556</v>
      </c>
      <c r="E5" s="15" t="s">
        <v>557</v>
      </c>
      <c r="F5" s="15" t="s">
        <v>558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ref="U5:U8" si="2">TEXT(D5-C5,"[mm]")/60</f>
        <v>0.03333333333</v>
      </c>
      <c r="V5" s="15">
        <f t="shared" ref="V5:V6" si="3">TEXT(F5-E5,"[mm]")/60</f>
        <v>0.15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ref="AD5:AD8" si="4">AVERAGE(U5:AC5)</f>
        <v>0.09166666667</v>
      </c>
      <c r="AE5" s="15" t="s">
        <v>34</v>
      </c>
      <c r="AF5" s="15" t="s">
        <v>35</v>
      </c>
      <c r="AG5" s="15" t="s">
        <v>35</v>
      </c>
      <c r="AH5" s="15">
        <f t="shared" si="1"/>
        <v>10</v>
      </c>
      <c r="AI5" s="15"/>
      <c r="AJ5" s="15" t="s">
        <v>61</v>
      </c>
    </row>
    <row r="6" ht="15.75" customHeight="1">
      <c r="A6" s="15" t="s">
        <v>542</v>
      </c>
      <c r="B6" s="23" t="s">
        <v>559</v>
      </c>
      <c r="C6" s="15" t="s">
        <v>560</v>
      </c>
      <c r="D6" s="15" t="s">
        <v>561</v>
      </c>
      <c r="E6" s="15" t="s">
        <v>562</v>
      </c>
      <c r="F6" s="19">
        <v>46142.78472222222</v>
      </c>
      <c r="G6" s="19">
        <v>46143.501388888886</v>
      </c>
      <c r="H6" s="19">
        <v>46143.50486111111</v>
      </c>
      <c r="I6" s="15" t="s">
        <v>33</v>
      </c>
      <c r="J6" s="15" t="s">
        <v>563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2"/>
        <v>0.06666666667</v>
      </c>
      <c r="V6" s="15">
        <f t="shared" si="3"/>
        <v>23.45</v>
      </c>
      <c r="W6" s="15">
        <f>TEXT(H6-G6,"[mm]")/60</f>
        <v>0.08333333333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4"/>
        <v>7.866666667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542</v>
      </c>
      <c r="B7" s="23" t="s">
        <v>564</v>
      </c>
      <c r="C7" s="15" t="s">
        <v>565</v>
      </c>
      <c r="D7" s="15" t="s">
        <v>566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2"/>
        <v>13.41666667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4"/>
        <v>13.41666667</v>
      </c>
      <c r="AE7" s="15" t="s">
        <v>34</v>
      </c>
      <c r="AF7" s="15" t="s">
        <v>35</v>
      </c>
      <c r="AG7" s="15" t="s">
        <v>35</v>
      </c>
      <c r="AH7" s="15">
        <f t="shared" si="1"/>
        <v>10</v>
      </c>
      <c r="AI7" s="15"/>
      <c r="AJ7" s="15" t="s">
        <v>61</v>
      </c>
    </row>
    <row r="8" ht="15.75" customHeight="1">
      <c r="A8" s="15" t="s">
        <v>542</v>
      </c>
      <c r="B8" s="23" t="s">
        <v>567</v>
      </c>
      <c r="C8" s="15" t="s">
        <v>568</v>
      </c>
      <c r="D8" s="15" t="s">
        <v>569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2"/>
        <v>0.1833333333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4"/>
        <v>0.1833333333</v>
      </c>
      <c r="AE8" s="15" t="s">
        <v>34</v>
      </c>
      <c r="AF8" s="15" t="s">
        <v>35</v>
      </c>
      <c r="AG8" s="15" t="s">
        <v>35</v>
      </c>
      <c r="AH8" s="15">
        <f t="shared" si="1"/>
        <v>10</v>
      </c>
      <c r="AI8" s="15"/>
      <c r="AJ8" s="15" t="s">
        <v>61</v>
      </c>
    </row>
    <row r="9" ht="15.75" customHeight="1">
      <c r="A9" s="15" t="s">
        <v>542</v>
      </c>
      <c r="B9" s="23" t="s">
        <v>570</v>
      </c>
      <c r="C9" s="15" t="s">
        <v>571</v>
      </c>
      <c r="D9" s="15" t="s">
        <v>33</v>
      </c>
      <c r="E9" s="15" t="s">
        <v>572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542</v>
      </c>
      <c r="B10" s="23" t="s">
        <v>573</v>
      </c>
      <c r="C10" s="15" t="s">
        <v>574</v>
      </c>
      <c r="D10" s="15" t="s">
        <v>575</v>
      </c>
      <c r="E10" s="15" t="s">
        <v>576</v>
      </c>
      <c r="F10" s="15" t="s">
        <v>577</v>
      </c>
      <c r="G10" s="15" t="s">
        <v>578</v>
      </c>
      <c r="H10" s="15" t="s">
        <v>579</v>
      </c>
      <c r="I10" s="15" t="s">
        <v>580</v>
      </c>
      <c r="J10" s="15" t="s">
        <v>33</v>
      </c>
      <c r="K10" s="15" t="s">
        <v>581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>TEXT(D10-C10,"[mm]")/60</f>
        <v>0.1</v>
      </c>
      <c r="V10" s="15">
        <f>TEXT(F10-E10,"[mm]")/60</f>
        <v>4.766666667</v>
      </c>
      <c r="W10" s="15">
        <f>TEXT(H10-G10,"[mm]")/60</f>
        <v>6.2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>AVERAGE(U10:AC10)</f>
        <v>3.688888889</v>
      </c>
      <c r="AE10" s="15" t="s">
        <v>34</v>
      </c>
      <c r="AF10" s="15" t="s">
        <v>35</v>
      </c>
      <c r="AG10" s="15" t="s">
        <v>35</v>
      </c>
      <c r="AH10" s="15">
        <f t="shared" si="1"/>
        <v>10</v>
      </c>
      <c r="AI10" s="15"/>
      <c r="AJ10" s="15" t="s">
        <v>61</v>
      </c>
    </row>
    <row r="11" ht="15.75" customHeight="1">
      <c r="A11" s="15" t="s">
        <v>542</v>
      </c>
      <c r="B11" s="23" t="s">
        <v>582</v>
      </c>
      <c r="C11" s="15" t="s">
        <v>583</v>
      </c>
      <c r="D11" s="15" t="s">
        <v>33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20" t="s">
        <v>33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20" t="s">
        <v>33</v>
      </c>
      <c r="AE11" s="15" t="s">
        <v>35</v>
      </c>
      <c r="AF11" s="15" t="s">
        <v>35</v>
      </c>
      <c r="AG11" s="15" t="s">
        <v>35</v>
      </c>
      <c r="AH11" s="15">
        <f t="shared" si="1"/>
        <v>-15</v>
      </c>
      <c r="AI11" s="15"/>
      <c r="AJ11" s="15" t="s">
        <v>61</v>
      </c>
    </row>
    <row r="12" ht="15.75" customHeight="1">
      <c r="A12" s="15" t="s">
        <v>542</v>
      </c>
      <c r="B12" s="23" t="s">
        <v>584</v>
      </c>
      <c r="C12" s="15" t="s">
        <v>585</v>
      </c>
      <c r="D12" s="15" t="s">
        <v>586</v>
      </c>
      <c r="E12" s="15" t="s">
        <v>587</v>
      </c>
      <c r="F12" s="15" t="s">
        <v>588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ref="U12:U18" si="5">TEXT(D12-C12,"[mm]")/60</f>
        <v>0.03333333333</v>
      </c>
      <c r="V12" s="15">
        <f>TEXT(F12-E12,"[mm]")/60</f>
        <v>0.06666666667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ref="AD12:AD18" si="6">AVERAGE(U12:AC12)</f>
        <v>0.05</v>
      </c>
      <c r="AE12" s="15" t="s">
        <v>34</v>
      </c>
      <c r="AF12" s="15" t="s">
        <v>35</v>
      </c>
      <c r="AG12" s="15" t="s">
        <v>35</v>
      </c>
      <c r="AH12" s="15">
        <f t="shared" si="1"/>
        <v>10</v>
      </c>
      <c r="AI12" s="15"/>
      <c r="AJ12" s="15" t="s">
        <v>61</v>
      </c>
    </row>
    <row r="13" ht="15.75" customHeight="1">
      <c r="A13" s="15" t="s">
        <v>542</v>
      </c>
      <c r="B13" s="23" t="s">
        <v>589</v>
      </c>
      <c r="C13" s="15" t="s">
        <v>590</v>
      </c>
      <c r="D13" s="15" t="s">
        <v>591</v>
      </c>
      <c r="E13" s="15" t="s">
        <v>33</v>
      </c>
      <c r="F13" s="15" t="s">
        <v>592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5"/>
        <v>14.58333333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6"/>
        <v>14.58333333</v>
      </c>
      <c r="AE13" s="15" t="s">
        <v>34</v>
      </c>
      <c r="AF13" s="15" t="s">
        <v>35</v>
      </c>
      <c r="AG13" s="15" t="s">
        <v>35</v>
      </c>
      <c r="AH13" s="15">
        <f t="shared" si="1"/>
        <v>10</v>
      </c>
      <c r="AI13" s="15"/>
      <c r="AJ13" s="15" t="s">
        <v>61</v>
      </c>
    </row>
    <row r="14" ht="15.75" customHeight="1">
      <c r="A14" s="15" t="s">
        <v>542</v>
      </c>
      <c r="B14" s="23" t="s">
        <v>593</v>
      </c>
      <c r="C14" s="15" t="s">
        <v>594</v>
      </c>
      <c r="D14" s="15" t="s">
        <v>595</v>
      </c>
      <c r="E14" s="15" t="s">
        <v>596</v>
      </c>
      <c r="F14" s="15" t="s">
        <v>33</v>
      </c>
      <c r="G14" s="15" t="s">
        <v>597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si="5"/>
        <v>20.93333333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15">
        <f t="shared" si="6"/>
        <v>20.93333333</v>
      </c>
      <c r="AE14" s="15" t="s">
        <v>34</v>
      </c>
      <c r="AF14" s="15" t="s">
        <v>35</v>
      </c>
      <c r="AG14" s="15" t="s">
        <v>35</v>
      </c>
      <c r="AH14" s="15">
        <f t="shared" si="1"/>
        <v>10</v>
      </c>
      <c r="AI14" s="15"/>
      <c r="AJ14" s="15" t="s">
        <v>61</v>
      </c>
    </row>
    <row r="15" ht="15.75" customHeight="1">
      <c r="A15" s="15" t="s">
        <v>542</v>
      </c>
      <c r="B15" s="16" t="s">
        <v>598</v>
      </c>
      <c r="C15" s="15" t="s">
        <v>599</v>
      </c>
      <c r="D15" s="15" t="s">
        <v>600</v>
      </c>
      <c r="E15" s="15" t="s">
        <v>33</v>
      </c>
      <c r="F15" s="15" t="s">
        <v>601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5"/>
        <v>26.2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6"/>
        <v>26.2</v>
      </c>
      <c r="AE15" s="15" t="s">
        <v>35</v>
      </c>
      <c r="AF15" s="15" t="s">
        <v>34</v>
      </c>
      <c r="AG15" s="15" t="s">
        <v>35</v>
      </c>
      <c r="AH15" s="15">
        <f t="shared" si="1"/>
        <v>5</v>
      </c>
      <c r="AI15" s="15"/>
      <c r="AJ15" s="15" t="s">
        <v>61</v>
      </c>
    </row>
    <row r="16" ht="15.75" customHeight="1">
      <c r="A16" s="15" t="s">
        <v>542</v>
      </c>
      <c r="B16" s="23" t="s">
        <v>602</v>
      </c>
      <c r="C16" s="15" t="s">
        <v>603</v>
      </c>
      <c r="D16" s="15" t="s">
        <v>604</v>
      </c>
      <c r="E16" s="15" t="s">
        <v>605</v>
      </c>
      <c r="F16" s="15" t="s">
        <v>269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5"/>
        <v>45.2</v>
      </c>
      <c r="V16" s="15">
        <f t="shared" ref="V16:V17" si="7">TEXT(F16-E16,"[mm]")/60</f>
        <v>47.35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si="6"/>
        <v>46.275</v>
      </c>
      <c r="AE16" s="15" t="s">
        <v>35</v>
      </c>
      <c r="AF16" s="15" t="s">
        <v>34</v>
      </c>
      <c r="AG16" s="15" t="s">
        <v>35</v>
      </c>
      <c r="AH16" s="15">
        <f t="shared" si="1"/>
        <v>5</v>
      </c>
      <c r="AI16" s="15"/>
      <c r="AJ16" s="15" t="s">
        <v>61</v>
      </c>
    </row>
    <row r="17" ht="15.75" customHeight="1">
      <c r="A17" s="15" t="s">
        <v>542</v>
      </c>
      <c r="B17" s="23" t="s">
        <v>606</v>
      </c>
      <c r="C17" s="15" t="s">
        <v>607</v>
      </c>
      <c r="D17" s="15" t="s">
        <v>608</v>
      </c>
      <c r="E17" s="15" t="s">
        <v>609</v>
      </c>
      <c r="F17" s="15" t="s">
        <v>610</v>
      </c>
      <c r="G17" s="15" t="s">
        <v>611</v>
      </c>
      <c r="H17" s="15" t="s">
        <v>612</v>
      </c>
      <c r="I17" s="15" t="s">
        <v>613</v>
      </c>
      <c r="J17" s="15" t="s">
        <v>614</v>
      </c>
      <c r="K17" s="15" t="s">
        <v>615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5"/>
        <v>2.416666667</v>
      </c>
      <c r="V17" s="15">
        <f t="shared" si="7"/>
        <v>75.06666667</v>
      </c>
      <c r="W17" s="15">
        <f>TEXT(H17-G17,"[mm]")/60</f>
        <v>47.6</v>
      </c>
      <c r="X17" s="15">
        <f>TEXT(J17-I17,"[mm]")/60</f>
        <v>3.583333333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si="6"/>
        <v>32.16666667</v>
      </c>
      <c r="AE17" s="15" t="s">
        <v>34</v>
      </c>
      <c r="AF17" s="15" t="s">
        <v>35</v>
      </c>
      <c r="AG17" s="15" t="s">
        <v>35</v>
      </c>
      <c r="AH17" s="15">
        <f t="shared" si="1"/>
        <v>10</v>
      </c>
      <c r="AI17" s="15"/>
      <c r="AJ17" s="15" t="s">
        <v>61</v>
      </c>
    </row>
    <row r="18" ht="15.75" customHeight="1">
      <c r="A18" s="15" t="s">
        <v>542</v>
      </c>
      <c r="B18" s="23" t="s">
        <v>616</v>
      </c>
      <c r="C18" s="15" t="s">
        <v>617</v>
      </c>
      <c r="D18" s="15" t="s">
        <v>618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5"/>
        <v>0.1833333333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6"/>
        <v>0.1833333333</v>
      </c>
      <c r="AE18" s="15" t="s">
        <v>34</v>
      </c>
      <c r="AF18" s="15" t="s">
        <v>35</v>
      </c>
      <c r="AG18" s="15" t="s">
        <v>35</v>
      </c>
      <c r="AH18" s="15">
        <f t="shared" si="1"/>
        <v>10</v>
      </c>
      <c r="AI18" s="15"/>
      <c r="AJ18" s="15" t="s">
        <v>61</v>
      </c>
    </row>
    <row r="19" ht="15.75" customHeight="1">
      <c r="A19" s="15" t="s">
        <v>542</v>
      </c>
      <c r="B19" s="23" t="s">
        <v>619</v>
      </c>
      <c r="C19" s="15" t="s">
        <v>620</v>
      </c>
      <c r="D19" s="15" t="s">
        <v>33</v>
      </c>
      <c r="E19" s="15" t="s">
        <v>621</v>
      </c>
      <c r="F19" s="15" t="s">
        <v>33</v>
      </c>
      <c r="G19" s="15" t="s">
        <v>622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20" t="s">
        <v>33</v>
      </c>
      <c r="V19" s="20" t="s">
        <v>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20" t="s">
        <v>33</v>
      </c>
      <c r="AE19" s="15" t="s">
        <v>35</v>
      </c>
      <c r="AF19" s="15" t="s">
        <v>35</v>
      </c>
      <c r="AG19" s="15" t="s">
        <v>35</v>
      </c>
      <c r="AH19" s="15">
        <f t="shared" si="1"/>
        <v>-15</v>
      </c>
      <c r="AI19" s="15"/>
      <c r="AJ19" s="15" t="s">
        <v>61</v>
      </c>
    </row>
    <row r="20" ht="15.75" customHeight="1">
      <c r="A20" s="15" t="s">
        <v>542</v>
      </c>
      <c r="B20" s="23" t="s">
        <v>623</v>
      </c>
      <c r="C20" s="15" t="s">
        <v>624</v>
      </c>
      <c r="D20" s="15" t="s">
        <v>33</v>
      </c>
      <c r="E20" s="15" t="s">
        <v>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20" t="s">
        <v>33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20" t="s">
        <v>33</v>
      </c>
      <c r="AE20" s="15" t="s">
        <v>35</v>
      </c>
      <c r="AF20" s="15" t="s">
        <v>35</v>
      </c>
      <c r="AG20" s="15" t="s">
        <v>35</v>
      </c>
      <c r="AH20" s="15">
        <f t="shared" si="1"/>
        <v>-15</v>
      </c>
      <c r="AI20" s="15"/>
      <c r="AJ20" s="15" t="s">
        <v>61</v>
      </c>
    </row>
    <row r="21" ht="15.75" customHeight="1">
      <c r="A21" s="15" t="s">
        <v>542</v>
      </c>
      <c r="B21" s="23" t="s">
        <v>625</v>
      </c>
      <c r="C21" s="15" t="s">
        <v>626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20" t="s">
        <v>33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20" t="s">
        <v>33</v>
      </c>
      <c r="AE21" s="15" t="s">
        <v>35</v>
      </c>
      <c r="AF21" s="15" t="s">
        <v>35</v>
      </c>
      <c r="AG21" s="15" t="s">
        <v>35</v>
      </c>
      <c r="AH21" s="15">
        <f t="shared" si="1"/>
        <v>-15</v>
      </c>
      <c r="AI21" s="15"/>
      <c r="AJ21" s="15" t="s">
        <v>61</v>
      </c>
    </row>
    <row r="22" ht="15.75" customHeight="1">
      <c r="A22" s="15" t="s">
        <v>542</v>
      </c>
      <c r="B22" s="23" t="s">
        <v>627</v>
      </c>
      <c r="C22" s="15" t="s">
        <v>628</v>
      </c>
      <c r="D22" s="15" t="s">
        <v>629</v>
      </c>
      <c r="E22" s="15" t="s">
        <v>33</v>
      </c>
      <c r="F22" s="15" t="s">
        <v>630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ref="U22:U25" si="8">TEXT(D22-C22,"[mm]")/60</f>
        <v>0.1333333333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 t="shared" ref="AD22:AD25" si="9">AVERAGE(U22:AC22)</f>
        <v>0.1333333333</v>
      </c>
      <c r="AE22" s="15" t="s">
        <v>34</v>
      </c>
      <c r="AF22" s="15" t="s">
        <v>35</v>
      </c>
      <c r="AG22" s="15" t="s">
        <v>35</v>
      </c>
      <c r="AH22" s="15">
        <f t="shared" si="1"/>
        <v>10</v>
      </c>
      <c r="AI22" s="15"/>
      <c r="AJ22" s="15" t="s">
        <v>61</v>
      </c>
    </row>
    <row r="23" ht="15.75" customHeight="1">
      <c r="A23" s="15" t="s">
        <v>542</v>
      </c>
      <c r="B23" s="23" t="s">
        <v>631</v>
      </c>
      <c r="C23" s="15" t="s">
        <v>632</v>
      </c>
      <c r="D23" s="15" t="s">
        <v>291</v>
      </c>
      <c r="E23" s="15" t="s">
        <v>33</v>
      </c>
      <c r="F23" s="15" t="s">
        <v>633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si="8"/>
        <v>11.68333333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15">
        <f t="shared" si="9"/>
        <v>11.68333333</v>
      </c>
      <c r="AE23" s="15" t="s">
        <v>34</v>
      </c>
      <c r="AF23" s="15" t="s">
        <v>35</v>
      </c>
      <c r="AG23" s="15" t="s">
        <v>35</v>
      </c>
      <c r="AH23" s="15">
        <f t="shared" si="1"/>
        <v>10</v>
      </c>
      <c r="AI23" s="15"/>
      <c r="AJ23" s="15" t="s">
        <v>61</v>
      </c>
    </row>
    <row r="24" ht="15.75" customHeight="1">
      <c r="A24" s="15" t="s">
        <v>542</v>
      </c>
      <c r="B24" s="23" t="s">
        <v>634</v>
      </c>
      <c r="C24" s="15" t="s">
        <v>635</v>
      </c>
      <c r="D24" s="15" t="s">
        <v>636</v>
      </c>
      <c r="E24" s="15" t="s">
        <v>637</v>
      </c>
      <c r="F24" s="15" t="s">
        <v>638</v>
      </c>
      <c r="G24" s="15" t="s">
        <v>639</v>
      </c>
      <c r="H24" s="15" t="s">
        <v>640</v>
      </c>
      <c r="I24" s="15" t="s">
        <v>33</v>
      </c>
      <c r="J24" s="15" t="s">
        <v>641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15">
        <f t="shared" si="8"/>
        <v>4</v>
      </c>
      <c r="V24" s="15">
        <f t="shared" ref="V24:V25" si="10">TEXT(F24-E24,"[mm]")/60</f>
        <v>5.516666667</v>
      </c>
      <c r="W24" s="15">
        <f>TEXT(H24-G24,"[mm]")/60</f>
        <v>17.41666667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si="9"/>
        <v>8.977777778</v>
      </c>
      <c r="AE24" s="15" t="s">
        <v>34</v>
      </c>
      <c r="AF24" s="15" t="s">
        <v>35</v>
      </c>
      <c r="AG24" s="15" t="s">
        <v>35</v>
      </c>
      <c r="AH24" s="15">
        <f t="shared" si="1"/>
        <v>10</v>
      </c>
      <c r="AI24" s="15"/>
      <c r="AJ24" s="15" t="s">
        <v>61</v>
      </c>
    </row>
    <row r="25" ht="15.75" customHeight="1">
      <c r="A25" s="15" t="s">
        <v>542</v>
      </c>
      <c r="B25" s="23" t="s">
        <v>642</v>
      </c>
      <c r="C25" s="15" t="s">
        <v>643</v>
      </c>
      <c r="D25" s="15" t="s">
        <v>292</v>
      </c>
      <c r="E25" s="15" t="s">
        <v>644</v>
      </c>
      <c r="F25" s="15" t="s">
        <v>645</v>
      </c>
      <c r="G25" s="15" t="s">
        <v>33</v>
      </c>
      <c r="H25" s="15" t="s">
        <v>646</v>
      </c>
      <c r="I25" s="15" t="s">
        <v>33</v>
      </c>
      <c r="J25" s="15" t="s">
        <v>647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si="8"/>
        <v>12.13333333</v>
      </c>
      <c r="V25" s="15">
        <f t="shared" si="10"/>
        <v>11.95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si="9"/>
        <v>12.04166667</v>
      </c>
      <c r="AE25" s="15" t="s">
        <v>34</v>
      </c>
      <c r="AF25" s="15" t="s">
        <v>35</v>
      </c>
      <c r="AG25" s="15" t="s">
        <v>35</v>
      </c>
      <c r="AH25" s="15">
        <f t="shared" si="1"/>
        <v>10</v>
      </c>
      <c r="AI25" s="15"/>
      <c r="AJ25" s="15" t="s">
        <v>61</v>
      </c>
    </row>
    <row r="26" ht="15.75" customHeight="1">
      <c r="A26" s="15" t="s">
        <v>542</v>
      </c>
      <c r="B26" s="23" t="s">
        <v>648</v>
      </c>
      <c r="C26" s="15" t="s">
        <v>649</v>
      </c>
      <c r="D26" s="15" t="s">
        <v>33</v>
      </c>
      <c r="E26" s="15" t="s">
        <v>33</v>
      </c>
      <c r="F26" s="15" t="s">
        <v>33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20" t="s">
        <v>33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20" t="s">
        <v>33</v>
      </c>
      <c r="AE26" s="15" t="s">
        <v>35</v>
      </c>
      <c r="AF26" s="15" t="s">
        <v>35</v>
      </c>
      <c r="AG26" s="15" t="s">
        <v>35</v>
      </c>
      <c r="AH26" s="15">
        <f t="shared" si="1"/>
        <v>-15</v>
      </c>
      <c r="AI26" s="15"/>
      <c r="AJ26" s="15" t="s">
        <v>61</v>
      </c>
    </row>
    <row r="27" ht="15.75" customHeight="1">
      <c r="A27" s="15" t="s">
        <v>542</v>
      </c>
      <c r="B27" s="23" t="s">
        <v>650</v>
      </c>
      <c r="C27" s="15" t="s">
        <v>651</v>
      </c>
      <c r="D27" s="15" t="s">
        <v>652</v>
      </c>
      <c r="E27" s="15" t="s">
        <v>653</v>
      </c>
      <c r="F27" s="15" t="s">
        <v>654</v>
      </c>
      <c r="G27" s="15" t="s">
        <v>655</v>
      </c>
      <c r="H27" s="15" t="s">
        <v>656</v>
      </c>
      <c r="I27" s="15" t="s">
        <v>657</v>
      </c>
      <c r="J27" s="15" t="s">
        <v>658</v>
      </c>
      <c r="K27" s="15" t="s">
        <v>53</v>
      </c>
      <c r="L27" s="15" t="s">
        <v>659</v>
      </c>
      <c r="M27" s="15" t="s">
        <v>660</v>
      </c>
      <c r="N27" s="15" t="s">
        <v>661</v>
      </c>
      <c r="O27" s="15" t="s">
        <v>662</v>
      </c>
      <c r="P27" s="15" t="s">
        <v>663</v>
      </c>
      <c r="Q27" s="15" t="s">
        <v>664</v>
      </c>
      <c r="R27" s="15" t="s">
        <v>33</v>
      </c>
      <c r="S27" s="15" t="s">
        <v>33</v>
      </c>
      <c r="T27" s="15" t="s">
        <v>33</v>
      </c>
      <c r="U27" s="15">
        <f t="shared" ref="U27:U33" si="11">TEXT(D27-C27,"[mm]")/60</f>
        <v>15.65</v>
      </c>
      <c r="V27" s="15">
        <f t="shared" ref="V27:V29" si="12">TEXT(F27-E27,"[mm]")/60</f>
        <v>20.96666667</v>
      </c>
      <c r="W27" s="15">
        <f t="shared" ref="W27:W29" si="13">TEXT(H27-G27,"[mm]")/60</f>
        <v>182.9333333</v>
      </c>
      <c r="X27" s="15">
        <f t="shared" ref="X27:X28" si="14">TEXT(J27-I27,"[mm]")/60</f>
        <v>69.05</v>
      </c>
      <c r="Y27" s="15">
        <f>TEXT(L27-K27,"[mm]")/60</f>
        <v>142.2333333</v>
      </c>
      <c r="Z27" s="15">
        <f>TEXT(N27-M27,"[mm]")/60</f>
        <v>130.4</v>
      </c>
      <c r="AA27" s="15">
        <f>TEXT(P27-O27,"[mm]")/60</f>
        <v>130.8166667</v>
      </c>
      <c r="AB27" s="20" t="s">
        <v>33</v>
      </c>
      <c r="AC27" s="20" t="s">
        <v>33</v>
      </c>
      <c r="AD27" s="15">
        <f t="shared" ref="AD27:AD33" si="15">AVERAGE(U27:AC27)</f>
        <v>98.86428571</v>
      </c>
      <c r="AE27" s="15" t="s">
        <v>34</v>
      </c>
      <c r="AF27" s="15" t="s">
        <v>35</v>
      </c>
      <c r="AG27" s="15" t="s">
        <v>35</v>
      </c>
      <c r="AH27" s="15">
        <f t="shared" si="1"/>
        <v>10</v>
      </c>
      <c r="AI27" s="15"/>
      <c r="AJ27" s="15" t="s">
        <v>61</v>
      </c>
    </row>
    <row r="28" ht="15.75" customHeight="1">
      <c r="A28" s="15" t="s">
        <v>542</v>
      </c>
      <c r="B28" s="23" t="s">
        <v>665</v>
      </c>
      <c r="C28" s="15" t="s">
        <v>104</v>
      </c>
      <c r="D28" s="15" t="s">
        <v>666</v>
      </c>
      <c r="E28" s="15" t="s">
        <v>667</v>
      </c>
      <c r="F28" s="15" t="s">
        <v>668</v>
      </c>
      <c r="G28" s="15" t="s">
        <v>669</v>
      </c>
      <c r="H28" s="15" t="s">
        <v>670</v>
      </c>
      <c r="I28" s="15" t="s">
        <v>671</v>
      </c>
      <c r="J28" s="15" t="s">
        <v>672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15">
        <f t="shared" si="11"/>
        <v>0.03333333333</v>
      </c>
      <c r="V28" s="15">
        <f t="shared" si="12"/>
        <v>0.05</v>
      </c>
      <c r="W28" s="15">
        <f t="shared" si="13"/>
        <v>0.08333333333</v>
      </c>
      <c r="X28" s="15">
        <f t="shared" si="14"/>
        <v>5.116666667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15">
        <f t="shared" si="15"/>
        <v>1.320833333</v>
      </c>
      <c r="AE28" s="15" t="s">
        <v>34</v>
      </c>
      <c r="AF28" s="15" t="s">
        <v>35</v>
      </c>
      <c r="AG28" s="15" t="s">
        <v>35</v>
      </c>
      <c r="AH28" s="15">
        <f t="shared" si="1"/>
        <v>10</v>
      </c>
      <c r="AI28" s="15"/>
      <c r="AJ28" s="15" t="s">
        <v>61</v>
      </c>
    </row>
    <row r="29" ht="15.75" customHeight="1">
      <c r="A29" s="15" t="s">
        <v>542</v>
      </c>
      <c r="B29" s="23" t="s">
        <v>673</v>
      </c>
      <c r="C29" s="15" t="s">
        <v>674</v>
      </c>
      <c r="D29" s="15" t="s">
        <v>675</v>
      </c>
      <c r="E29" s="15" t="s">
        <v>676</v>
      </c>
      <c r="F29" s="15" t="s">
        <v>677</v>
      </c>
      <c r="G29" s="15" t="s">
        <v>678</v>
      </c>
      <c r="H29" s="15" t="s">
        <v>679</v>
      </c>
      <c r="I29" s="15" t="s">
        <v>33</v>
      </c>
      <c r="J29" s="15" t="s">
        <v>680</v>
      </c>
      <c r="K29" s="15" t="s">
        <v>33</v>
      </c>
      <c r="L29" s="15" t="s">
        <v>681</v>
      </c>
      <c r="M29" s="15" t="s">
        <v>33</v>
      </c>
      <c r="N29" s="15" t="s">
        <v>682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 t="shared" si="11"/>
        <v>0.05</v>
      </c>
      <c r="V29" s="15">
        <f t="shared" si="12"/>
        <v>17</v>
      </c>
      <c r="W29" s="15">
        <f t="shared" si="13"/>
        <v>-70.6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 t="shared" si="15"/>
        <v>-17.85</v>
      </c>
      <c r="AE29" s="15" t="s">
        <v>34</v>
      </c>
      <c r="AF29" s="15" t="s">
        <v>35</v>
      </c>
      <c r="AG29" s="15" t="s">
        <v>35</v>
      </c>
      <c r="AH29" s="15">
        <f t="shared" si="1"/>
        <v>10</v>
      </c>
      <c r="AI29" s="15"/>
      <c r="AJ29" s="15" t="s">
        <v>61</v>
      </c>
    </row>
    <row r="30" ht="15.75" customHeight="1">
      <c r="A30" s="15" t="s">
        <v>542</v>
      </c>
      <c r="B30" s="23" t="s">
        <v>683</v>
      </c>
      <c r="C30" s="15" t="s">
        <v>684</v>
      </c>
      <c r="D30" s="15" t="s">
        <v>685</v>
      </c>
      <c r="E30" s="15" t="s">
        <v>33</v>
      </c>
      <c r="F30" s="15" t="s">
        <v>33</v>
      </c>
      <c r="G30" s="15" t="s">
        <v>33</v>
      </c>
      <c r="H30" s="15" t="s">
        <v>33</v>
      </c>
      <c r="I30" s="15" t="s">
        <v>33</v>
      </c>
      <c r="J30" s="15" t="s">
        <v>33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si="11"/>
        <v>0.03333333333</v>
      </c>
      <c r="V30" s="20" t="s">
        <v>33</v>
      </c>
      <c r="W30" s="20" t="s">
        <v>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 t="shared" si="15"/>
        <v>0.03333333333</v>
      </c>
      <c r="AE30" s="15" t="s">
        <v>34</v>
      </c>
      <c r="AF30" s="15" t="s">
        <v>35</v>
      </c>
      <c r="AG30" s="15" t="s">
        <v>35</v>
      </c>
      <c r="AH30" s="15">
        <f t="shared" si="1"/>
        <v>10</v>
      </c>
      <c r="AI30" s="15"/>
      <c r="AJ30" s="15" t="s">
        <v>61</v>
      </c>
    </row>
    <row r="31" ht="15.75" customHeight="1">
      <c r="A31" s="15" t="s">
        <v>542</v>
      </c>
      <c r="B31" s="23" t="s">
        <v>686</v>
      </c>
      <c r="C31" s="15" t="s">
        <v>687</v>
      </c>
      <c r="D31" s="15" t="s">
        <v>688</v>
      </c>
      <c r="E31" s="15" t="s">
        <v>33</v>
      </c>
      <c r="F31" s="15" t="s">
        <v>33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11"/>
        <v>0.06666666667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si="15"/>
        <v>0.06666666667</v>
      </c>
      <c r="AE31" s="15" t="s">
        <v>34</v>
      </c>
      <c r="AF31" s="15" t="s">
        <v>35</v>
      </c>
      <c r="AG31" s="15" t="s">
        <v>35</v>
      </c>
      <c r="AH31" s="15">
        <f t="shared" si="1"/>
        <v>10</v>
      </c>
      <c r="AI31" s="15"/>
      <c r="AJ31" s="15" t="s">
        <v>61</v>
      </c>
    </row>
    <row r="32" ht="15.75" customHeight="1">
      <c r="A32" s="15" t="s">
        <v>542</v>
      </c>
      <c r="B32" s="23" t="s">
        <v>689</v>
      </c>
      <c r="C32" s="15" t="s">
        <v>690</v>
      </c>
      <c r="D32" s="15" t="s">
        <v>691</v>
      </c>
      <c r="E32" s="19">
        <v>46134.76944444444</v>
      </c>
      <c r="F32" s="19">
        <v>46135.044444444444</v>
      </c>
      <c r="G32" s="19">
        <v>46135.490277777775</v>
      </c>
      <c r="H32" s="19">
        <v>46135.67569444444</v>
      </c>
      <c r="I32" s="19">
        <v>46135.657638888886</v>
      </c>
      <c r="J32" s="19">
        <v>46135.80902777778</v>
      </c>
      <c r="K32" s="19">
        <v>46135.677777777775</v>
      </c>
      <c r="L32" s="19">
        <v>46135.81875</v>
      </c>
      <c r="M32" s="15" t="s">
        <v>33</v>
      </c>
      <c r="N32" s="15" t="s">
        <v>692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11"/>
        <v>0.03333333333</v>
      </c>
      <c r="V32" s="15">
        <f>TEXT(F32-E32,"[mm]")/60</f>
        <v>6.6</v>
      </c>
      <c r="W32" s="15">
        <f>TEXT(H32-G32,"[mm]")/60</f>
        <v>4.45</v>
      </c>
      <c r="X32" s="15">
        <f>TEXT(J32-I32,"[mm]")/60</f>
        <v>3.633333333</v>
      </c>
      <c r="Y32" s="15">
        <f>TEXT(L32-K32,"[mm]")/60</f>
        <v>3.383333333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15"/>
        <v>3.62</v>
      </c>
      <c r="AE32" s="15" t="s">
        <v>34</v>
      </c>
      <c r="AF32" s="15" t="s">
        <v>35</v>
      </c>
      <c r="AG32" s="15" t="s">
        <v>35</v>
      </c>
      <c r="AH32" s="15">
        <f t="shared" si="1"/>
        <v>10</v>
      </c>
      <c r="AI32" s="15"/>
      <c r="AJ32" s="15" t="s">
        <v>61</v>
      </c>
    </row>
    <row r="33" ht="15.75" customHeight="1">
      <c r="A33" s="15" t="s">
        <v>542</v>
      </c>
      <c r="B33" s="23" t="s">
        <v>693</v>
      </c>
      <c r="C33" s="15" t="s">
        <v>694</v>
      </c>
      <c r="D33" s="15" t="s">
        <v>695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11"/>
        <v>0.15</v>
      </c>
      <c r="V33" s="20" t="s">
        <v>33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si="15"/>
        <v>0.15</v>
      </c>
      <c r="AE33" s="15" t="s">
        <v>34</v>
      </c>
      <c r="AF33" s="15" t="s">
        <v>35</v>
      </c>
      <c r="AG33" s="15" t="s">
        <v>35</v>
      </c>
      <c r="AH33" s="15">
        <f t="shared" si="1"/>
        <v>10</v>
      </c>
      <c r="AI33" s="15"/>
      <c r="AJ33" s="15" t="s">
        <v>61</v>
      </c>
    </row>
    <row r="34" ht="15.75" customHeight="1">
      <c r="A34" s="15" t="s">
        <v>542</v>
      </c>
      <c r="B34" s="23" t="s">
        <v>696</v>
      </c>
      <c r="C34" s="15" t="s">
        <v>697</v>
      </c>
      <c r="D34" s="15" t="s">
        <v>33</v>
      </c>
      <c r="E34" s="15" t="s">
        <v>33</v>
      </c>
      <c r="F34" s="15" t="s">
        <v>33</v>
      </c>
      <c r="G34" s="15" t="s">
        <v>33</v>
      </c>
      <c r="H34" s="15" t="s">
        <v>33</v>
      </c>
      <c r="I34" s="15" t="s">
        <v>33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20" t="s">
        <v>33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20" t="s">
        <v>33</v>
      </c>
      <c r="AE34" s="15" t="s">
        <v>35</v>
      </c>
      <c r="AF34" s="15" t="s">
        <v>35</v>
      </c>
      <c r="AG34" s="15" t="s">
        <v>35</v>
      </c>
      <c r="AH34" s="15">
        <f t="shared" si="1"/>
        <v>-15</v>
      </c>
      <c r="AI34" s="15"/>
      <c r="AJ34" s="15" t="s">
        <v>61</v>
      </c>
    </row>
    <row r="35" ht="15.75" customHeight="1">
      <c r="A35" s="15" t="s">
        <v>542</v>
      </c>
      <c r="B35" s="23" t="s">
        <v>698</v>
      </c>
      <c r="C35" s="15" t="s">
        <v>699</v>
      </c>
      <c r="D35" s="15" t="s">
        <v>33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20" t="s">
        <v>33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20" t="s">
        <v>33</v>
      </c>
      <c r="AE35" s="15" t="s">
        <v>35</v>
      </c>
      <c r="AF35" s="15" t="s">
        <v>35</v>
      </c>
      <c r="AG35" s="15" t="s">
        <v>35</v>
      </c>
      <c r="AH35" s="15">
        <f t="shared" si="1"/>
        <v>-15</v>
      </c>
      <c r="AI35" s="15"/>
      <c r="AJ35" s="15" t="s">
        <v>61</v>
      </c>
    </row>
    <row r="36" ht="15.75" customHeight="1">
      <c r="A36" s="15" t="s">
        <v>542</v>
      </c>
      <c r="B36" s="23" t="s">
        <v>700</v>
      </c>
      <c r="C36" s="15" t="s">
        <v>701</v>
      </c>
      <c r="D36" s="15" t="s">
        <v>702</v>
      </c>
      <c r="E36" s="15" t="s">
        <v>703</v>
      </c>
      <c r="F36" s="15" t="s">
        <v>704</v>
      </c>
      <c r="G36" s="15" t="s">
        <v>705</v>
      </c>
      <c r="H36" s="15" t="s">
        <v>706</v>
      </c>
      <c r="I36" s="15" t="s">
        <v>33</v>
      </c>
      <c r="J36" s="15" t="s">
        <v>707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ref="U36:U37" si="16">TEXT(D36-C36,"[mm]")/60</f>
        <v>0.01666666667</v>
      </c>
      <c r="V36" s="15">
        <f t="shared" ref="V36:V37" si="17">TEXT(F36-E36,"[mm]")/60</f>
        <v>5.333333333</v>
      </c>
      <c r="W36" s="15">
        <f t="shared" ref="W36:W37" si="18">TEXT(H36-G36,"[mm]")/60</f>
        <v>8.983333333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ref="AD36:AD37" si="19">AVERAGE(U36:AC36)</f>
        <v>4.777777778</v>
      </c>
      <c r="AE36" s="15" t="s">
        <v>34</v>
      </c>
      <c r="AF36" s="15" t="s">
        <v>35</v>
      </c>
      <c r="AG36" s="15" t="s">
        <v>35</v>
      </c>
      <c r="AH36" s="15">
        <f t="shared" si="1"/>
        <v>10</v>
      </c>
      <c r="AI36" s="15"/>
      <c r="AJ36" s="15" t="s">
        <v>61</v>
      </c>
    </row>
    <row r="37" ht="15.75" customHeight="1">
      <c r="A37" s="15" t="s">
        <v>542</v>
      </c>
      <c r="B37" s="23" t="s">
        <v>708</v>
      </c>
      <c r="C37" s="15" t="s">
        <v>709</v>
      </c>
      <c r="D37" s="15" t="s">
        <v>710</v>
      </c>
      <c r="E37" s="19">
        <v>46137.71041666667</v>
      </c>
      <c r="F37" s="19">
        <v>46138.419444444444</v>
      </c>
      <c r="G37" s="15" t="s">
        <v>711</v>
      </c>
      <c r="H37" s="15" t="s">
        <v>712</v>
      </c>
      <c r="I37" s="15" t="s">
        <v>713</v>
      </c>
      <c r="J37" s="15" t="s">
        <v>714</v>
      </c>
      <c r="K37" s="15" t="s">
        <v>715</v>
      </c>
      <c r="L37" s="15" t="s">
        <v>716</v>
      </c>
      <c r="M37" s="19">
        <v>46139.70416666667</v>
      </c>
      <c r="N37" s="19">
        <v>46139.731944444444</v>
      </c>
      <c r="O37" s="19">
        <v>46139.73402777778</v>
      </c>
      <c r="P37" s="19">
        <v>46140.586805555555</v>
      </c>
      <c r="Q37" s="19">
        <v>46139.802083333336</v>
      </c>
      <c r="R37" s="19">
        <v>46140.756944444445</v>
      </c>
      <c r="S37" s="19">
        <v>46140.59027777778</v>
      </c>
      <c r="T37" s="19">
        <v>46141.51944444444</v>
      </c>
      <c r="U37" s="15">
        <f t="shared" si="16"/>
        <v>90.95</v>
      </c>
      <c r="V37" s="15">
        <f t="shared" si="17"/>
        <v>17.01666667</v>
      </c>
      <c r="W37" s="15">
        <f t="shared" si="18"/>
        <v>17.21666667</v>
      </c>
      <c r="X37" s="15">
        <f>TEXT(J37-I37,"[mm]")/60</f>
        <v>1.6</v>
      </c>
      <c r="Y37" s="15">
        <f>TEXT(L37-K37,"[mm]")/60</f>
        <v>0.05</v>
      </c>
      <c r="Z37" s="15">
        <f>TEXT(N37-M37,"[mm]")/60</f>
        <v>0.6666666667</v>
      </c>
      <c r="AA37" s="15">
        <f>TEXT(P37-O37,"[mm]")/60</f>
        <v>20.46666667</v>
      </c>
      <c r="AB37" s="15">
        <f>TEXT(R37-Q37,"[mm]")/60</f>
        <v>22.91666667</v>
      </c>
      <c r="AC37" s="15">
        <f>TEXT(T37-S37,"[mm]")/60</f>
        <v>22.3</v>
      </c>
      <c r="AD37" s="15">
        <f t="shared" si="19"/>
        <v>21.46481481</v>
      </c>
      <c r="AE37" s="15" t="s">
        <v>35</v>
      </c>
      <c r="AF37" s="15" t="s">
        <v>35</v>
      </c>
      <c r="AG37" s="15" t="s">
        <v>34</v>
      </c>
      <c r="AH37" s="15">
        <f t="shared" si="1"/>
        <v>-10</v>
      </c>
      <c r="AI37" s="15"/>
      <c r="AJ37" s="15" t="s">
        <v>61</v>
      </c>
    </row>
    <row r="38" ht="15.75" customHeight="1">
      <c r="A38" s="15" t="s">
        <v>542</v>
      </c>
      <c r="B38" s="23" t="s">
        <v>717</v>
      </c>
      <c r="C38" s="15" t="s">
        <v>718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20" t="s">
        <v>33</v>
      </c>
      <c r="AE38" s="15" t="s">
        <v>35</v>
      </c>
      <c r="AF38" s="15" t="s">
        <v>35</v>
      </c>
      <c r="AG38" s="15" t="s">
        <v>35</v>
      </c>
      <c r="AH38" s="15">
        <f t="shared" si="1"/>
        <v>-15</v>
      </c>
      <c r="AI38" s="15"/>
      <c r="AJ38" s="15" t="s">
        <v>61</v>
      </c>
    </row>
    <row r="39" ht="15.75" customHeight="1">
      <c r="A39" s="15" t="s">
        <v>542</v>
      </c>
      <c r="B39" s="23" t="s">
        <v>719</v>
      </c>
      <c r="C39" s="15" t="s">
        <v>720</v>
      </c>
      <c r="D39" s="15" t="s">
        <v>721</v>
      </c>
      <c r="E39" s="15" t="s">
        <v>722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>TEXT(D39-C39,"[mm]")/60</f>
        <v>0.1666666667</v>
      </c>
      <c r="V39" s="20" t="s">
        <v>33</v>
      </c>
      <c r="W39" s="20" t="s">
        <v>33</v>
      </c>
      <c r="X39" s="20" t="s">
        <v>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15">
        <f>AVERAGE(U39:AC39)</f>
        <v>0.1666666667</v>
      </c>
      <c r="AE39" s="15" t="s">
        <v>34</v>
      </c>
      <c r="AF39" s="15" t="s">
        <v>35</v>
      </c>
      <c r="AG39" s="15" t="s">
        <v>35</v>
      </c>
      <c r="AH39" s="15">
        <f t="shared" si="1"/>
        <v>10</v>
      </c>
      <c r="AI39" s="15"/>
      <c r="AJ39" s="15" t="s">
        <v>61</v>
      </c>
    </row>
    <row r="40" ht="15.75" customHeight="1">
      <c r="A40" s="15" t="s">
        <v>542</v>
      </c>
      <c r="B40" s="23" t="s">
        <v>723</v>
      </c>
      <c r="C40" s="15" t="s">
        <v>724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20" t="s">
        <v>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20" t="s">
        <v>33</v>
      </c>
      <c r="AE40" s="15" t="s">
        <v>35</v>
      </c>
      <c r="AF40" s="15" t="s">
        <v>35</v>
      </c>
      <c r="AG40" s="15" t="s">
        <v>35</v>
      </c>
      <c r="AH40" s="15">
        <f t="shared" si="1"/>
        <v>-15</v>
      </c>
      <c r="AI40" s="15"/>
      <c r="AJ40" s="15" t="s">
        <v>61</v>
      </c>
    </row>
    <row r="41" ht="15.75" customHeight="1">
      <c r="A41" s="15" t="s">
        <v>542</v>
      </c>
      <c r="B41" s="23" t="s">
        <v>725</v>
      </c>
      <c r="C41" s="15" t="s">
        <v>726</v>
      </c>
      <c r="D41" s="15" t="s">
        <v>727</v>
      </c>
      <c r="E41" s="15" t="s">
        <v>728</v>
      </c>
      <c r="F41" s="15" t="s">
        <v>729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ref="U41:U50" si="20">TEXT(D41-C41,"[mm]")/60</f>
        <v>18.66666667</v>
      </c>
      <c r="V41" s="15">
        <f>TEXT(F41-E41,"[mm]")/60</f>
        <v>22.45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15">
        <f t="shared" ref="AD41:AD50" si="21">AVERAGE(U41:AC41)</f>
        <v>20.55833333</v>
      </c>
      <c r="AE41" s="15" t="s">
        <v>34</v>
      </c>
      <c r="AF41" s="15" t="s">
        <v>35</v>
      </c>
      <c r="AG41" s="15" t="s">
        <v>35</v>
      </c>
      <c r="AH41" s="15">
        <f t="shared" si="1"/>
        <v>10</v>
      </c>
      <c r="AI41" s="15"/>
      <c r="AJ41" s="15" t="s">
        <v>61</v>
      </c>
    </row>
    <row r="42" ht="15.75" customHeight="1">
      <c r="A42" s="15" t="s">
        <v>542</v>
      </c>
      <c r="B42" s="23" t="s">
        <v>730</v>
      </c>
      <c r="C42" s="15" t="s">
        <v>731</v>
      </c>
      <c r="D42" s="15" t="s">
        <v>732</v>
      </c>
      <c r="E42" s="15" t="s">
        <v>33</v>
      </c>
      <c r="F42" s="15" t="s">
        <v>33</v>
      </c>
      <c r="G42" s="15" t="s">
        <v>33</v>
      </c>
      <c r="H42" s="15" t="s">
        <v>33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si="20"/>
        <v>0.15</v>
      </c>
      <c r="V42" s="20" t="s">
        <v>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 t="shared" si="21"/>
        <v>0.15</v>
      </c>
      <c r="AE42" s="15" t="s">
        <v>34</v>
      </c>
      <c r="AF42" s="15" t="s">
        <v>35</v>
      </c>
      <c r="AG42" s="15" t="s">
        <v>35</v>
      </c>
      <c r="AH42" s="15">
        <f t="shared" si="1"/>
        <v>10</v>
      </c>
      <c r="AI42" s="15"/>
      <c r="AJ42" s="15" t="s">
        <v>61</v>
      </c>
    </row>
    <row r="43" ht="15.75" customHeight="1">
      <c r="A43" s="15" t="s">
        <v>542</v>
      </c>
      <c r="B43" s="23" t="s">
        <v>733</v>
      </c>
      <c r="C43" s="15" t="s">
        <v>734</v>
      </c>
      <c r="D43" s="15" t="s">
        <v>735</v>
      </c>
      <c r="E43" s="15" t="s">
        <v>33</v>
      </c>
      <c r="F43" s="15" t="s">
        <v>33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20"/>
        <v>14.96666667</v>
      </c>
      <c r="V43" s="20" t="s">
        <v>33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15">
        <f t="shared" si="21"/>
        <v>14.96666667</v>
      </c>
      <c r="AE43" s="15" t="s">
        <v>34</v>
      </c>
      <c r="AF43" s="15" t="s">
        <v>35</v>
      </c>
      <c r="AG43" s="15" t="s">
        <v>35</v>
      </c>
      <c r="AH43" s="15">
        <f t="shared" si="1"/>
        <v>10</v>
      </c>
      <c r="AI43" s="15"/>
      <c r="AJ43" s="15" t="s">
        <v>61</v>
      </c>
    </row>
    <row r="44" ht="15.75" customHeight="1">
      <c r="A44" s="15" t="s">
        <v>542</v>
      </c>
      <c r="B44" s="23" t="s">
        <v>736</v>
      </c>
      <c r="C44" s="15" t="s">
        <v>737</v>
      </c>
      <c r="D44" s="15" t="s">
        <v>738</v>
      </c>
      <c r="E44" s="15" t="s">
        <v>739</v>
      </c>
      <c r="F44" s="15" t="s">
        <v>33</v>
      </c>
      <c r="G44" s="15" t="s">
        <v>33</v>
      </c>
      <c r="H44" s="15" t="s">
        <v>33</v>
      </c>
      <c r="I44" s="15" t="s">
        <v>33</v>
      </c>
      <c r="J44" s="15" t="s">
        <v>33</v>
      </c>
      <c r="K44" s="15" t="s">
        <v>33</v>
      </c>
      <c r="L44" s="15" t="s">
        <v>33</v>
      </c>
      <c r="M44" s="15" t="s">
        <v>33</v>
      </c>
      <c r="N44" s="15" t="s">
        <v>33</v>
      </c>
      <c r="O44" s="15" t="s">
        <v>33</v>
      </c>
      <c r="P44" s="15" t="s">
        <v>33</v>
      </c>
      <c r="Q44" s="15" t="s">
        <v>33</v>
      </c>
      <c r="R44" s="15" t="s">
        <v>33</v>
      </c>
      <c r="S44" s="15" t="s">
        <v>33</v>
      </c>
      <c r="T44" s="15" t="s">
        <v>33</v>
      </c>
      <c r="U44" s="15">
        <f t="shared" si="20"/>
        <v>27.23333333</v>
      </c>
      <c r="V44" s="20" t="s">
        <v>33</v>
      </c>
      <c r="W44" s="20" t="s">
        <v>33</v>
      </c>
      <c r="X44" s="20" t="s">
        <v>33</v>
      </c>
      <c r="Y44" s="20" t="s">
        <v>33</v>
      </c>
      <c r="Z44" s="20" t="s">
        <v>33</v>
      </c>
      <c r="AA44" s="20" t="s">
        <v>33</v>
      </c>
      <c r="AB44" s="20" t="s">
        <v>33</v>
      </c>
      <c r="AC44" s="20" t="s">
        <v>33</v>
      </c>
      <c r="AD44" s="15">
        <f t="shared" si="21"/>
        <v>27.23333333</v>
      </c>
      <c r="AE44" s="15" t="s">
        <v>35</v>
      </c>
      <c r="AF44" s="15" t="s">
        <v>34</v>
      </c>
      <c r="AG44" s="15" t="s">
        <v>35</v>
      </c>
      <c r="AH44" s="15">
        <f t="shared" si="1"/>
        <v>5</v>
      </c>
      <c r="AI44" s="15"/>
      <c r="AJ44" s="15" t="s">
        <v>61</v>
      </c>
    </row>
    <row r="45" ht="15.75" customHeight="1">
      <c r="A45" s="15" t="s">
        <v>542</v>
      </c>
      <c r="B45" s="23" t="s">
        <v>740</v>
      </c>
      <c r="C45" s="15" t="s">
        <v>741</v>
      </c>
      <c r="D45" s="15" t="s">
        <v>742</v>
      </c>
      <c r="E45" s="15" t="s">
        <v>743</v>
      </c>
      <c r="F45" s="15" t="s">
        <v>744</v>
      </c>
      <c r="G45" s="15" t="s">
        <v>33</v>
      </c>
      <c r="H45" s="15" t="s">
        <v>745</v>
      </c>
      <c r="I45" s="15" t="s">
        <v>33</v>
      </c>
      <c r="J45" s="15" t="s">
        <v>746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15">
        <f t="shared" si="20"/>
        <v>42.06666667</v>
      </c>
      <c r="V45" s="15">
        <f t="shared" ref="V45:V46" si="22">TEXT(F45-E45,"[mm]")/60</f>
        <v>25.3</v>
      </c>
      <c r="W45" s="20" t="s">
        <v>33</v>
      </c>
      <c r="X45" s="20" t="s">
        <v>33</v>
      </c>
      <c r="Y45" s="20" t="s">
        <v>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15">
        <f t="shared" si="21"/>
        <v>33.68333333</v>
      </c>
      <c r="AE45" s="15" t="s">
        <v>35</v>
      </c>
      <c r="AF45" s="15" t="s">
        <v>34</v>
      </c>
      <c r="AG45" s="15" t="s">
        <v>35</v>
      </c>
      <c r="AH45" s="15">
        <f t="shared" si="1"/>
        <v>5</v>
      </c>
      <c r="AI45" s="15"/>
      <c r="AJ45" s="15" t="s">
        <v>61</v>
      </c>
    </row>
    <row r="46" ht="15.75" customHeight="1">
      <c r="A46" s="15" t="s">
        <v>542</v>
      </c>
      <c r="B46" s="23" t="s">
        <v>747</v>
      </c>
      <c r="C46" s="15" t="s">
        <v>748</v>
      </c>
      <c r="D46" s="15" t="s">
        <v>749</v>
      </c>
      <c r="E46" s="15" t="s">
        <v>750</v>
      </c>
      <c r="F46" s="15" t="s">
        <v>751</v>
      </c>
      <c r="G46" s="15" t="s">
        <v>33</v>
      </c>
      <c r="H46" s="15" t="s">
        <v>752</v>
      </c>
      <c r="I46" s="15" t="s">
        <v>33</v>
      </c>
      <c r="J46" s="15" t="s">
        <v>753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si="20"/>
        <v>0.01666666667</v>
      </c>
      <c r="V46" s="15">
        <f t="shared" si="22"/>
        <v>0.15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15">
        <f t="shared" si="21"/>
        <v>0.08333333333</v>
      </c>
      <c r="AE46" s="15" t="s">
        <v>34</v>
      </c>
      <c r="AF46" s="15" t="s">
        <v>35</v>
      </c>
      <c r="AG46" s="15" t="s">
        <v>35</v>
      </c>
      <c r="AH46" s="15">
        <f t="shared" si="1"/>
        <v>10</v>
      </c>
      <c r="AI46" s="15"/>
      <c r="AJ46" s="15" t="s">
        <v>61</v>
      </c>
    </row>
    <row r="47" ht="15.75" customHeight="1">
      <c r="A47" s="15" t="s">
        <v>542</v>
      </c>
      <c r="B47" s="23" t="s">
        <v>754</v>
      </c>
      <c r="C47" s="15" t="s">
        <v>425</v>
      </c>
      <c r="D47" s="15" t="s">
        <v>755</v>
      </c>
      <c r="E47" s="15" t="s">
        <v>33</v>
      </c>
      <c r="F47" s="15" t="s">
        <v>756</v>
      </c>
      <c r="G47" s="15" t="s">
        <v>33</v>
      </c>
      <c r="H47" s="15" t="s">
        <v>757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si="20"/>
        <v>0.1</v>
      </c>
      <c r="V47" s="20" t="s">
        <v>33</v>
      </c>
      <c r="W47" s="20" t="s">
        <v>33</v>
      </c>
      <c r="X47" s="20" t="s">
        <v>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15">
        <f t="shared" si="21"/>
        <v>0.1</v>
      </c>
      <c r="AE47" s="15" t="s">
        <v>34</v>
      </c>
      <c r="AF47" s="15" t="s">
        <v>35</v>
      </c>
      <c r="AG47" s="15" t="s">
        <v>35</v>
      </c>
      <c r="AH47" s="15">
        <f t="shared" si="1"/>
        <v>10</v>
      </c>
      <c r="AI47" s="15"/>
      <c r="AJ47" s="15" t="s">
        <v>61</v>
      </c>
    </row>
    <row r="48" ht="15.75" customHeight="1">
      <c r="A48" s="15" t="s">
        <v>542</v>
      </c>
      <c r="B48" s="23" t="s">
        <v>758</v>
      </c>
      <c r="C48" s="15" t="s">
        <v>759</v>
      </c>
      <c r="D48" s="15" t="s">
        <v>760</v>
      </c>
      <c r="E48" s="15" t="s">
        <v>33</v>
      </c>
      <c r="F48" s="15" t="s">
        <v>761</v>
      </c>
      <c r="G48" s="15" t="s">
        <v>33</v>
      </c>
      <c r="H48" s="15" t="s">
        <v>33</v>
      </c>
      <c r="I48" s="15" t="s">
        <v>33</v>
      </c>
      <c r="J48" s="15" t="s">
        <v>33</v>
      </c>
      <c r="K48" s="15" t="s">
        <v>33</v>
      </c>
      <c r="L48" s="15" t="s">
        <v>33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20"/>
        <v>0.1</v>
      </c>
      <c r="V48" s="20" t="s">
        <v>33</v>
      </c>
      <c r="W48" s="20" t="s">
        <v>33</v>
      </c>
      <c r="X48" s="20" t="s">
        <v>33</v>
      </c>
      <c r="Y48" s="20" t="s">
        <v>33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15">
        <f t="shared" si="21"/>
        <v>0.1</v>
      </c>
      <c r="AE48" s="15" t="s">
        <v>34</v>
      </c>
      <c r="AF48" s="15" t="s">
        <v>35</v>
      </c>
      <c r="AG48" s="15" t="s">
        <v>35</v>
      </c>
      <c r="AH48" s="15">
        <f t="shared" si="1"/>
        <v>10</v>
      </c>
      <c r="AI48" s="15"/>
      <c r="AJ48" s="15" t="s">
        <v>61</v>
      </c>
    </row>
    <row r="49" ht="15.75" customHeight="1">
      <c r="A49" s="15" t="s">
        <v>542</v>
      </c>
      <c r="B49" s="23" t="s">
        <v>762</v>
      </c>
      <c r="C49" s="15" t="s">
        <v>763</v>
      </c>
      <c r="D49" s="15" t="s">
        <v>764</v>
      </c>
      <c r="E49" s="15" t="s">
        <v>765</v>
      </c>
      <c r="F49" s="15" t="s">
        <v>766</v>
      </c>
      <c r="G49" s="15" t="s">
        <v>767</v>
      </c>
      <c r="H49" s="15" t="s">
        <v>768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20"/>
        <v>0.2</v>
      </c>
      <c r="V49" s="15">
        <f>TEXT(F49-E49,"[mm]")/60</f>
        <v>23.71666667</v>
      </c>
      <c r="W49" s="15">
        <f>TEXT(H49-G49,"[mm]")/60</f>
        <v>3.666666667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si="21"/>
        <v>9.194444444</v>
      </c>
      <c r="AE49" s="15" t="s">
        <v>34</v>
      </c>
      <c r="AF49" s="15" t="s">
        <v>35</v>
      </c>
      <c r="AG49" s="15" t="s">
        <v>35</v>
      </c>
      <c r="AH49" s="15">
        <f t="shared" si="1"/>
        <v>10</v>
      </c>
      <c r="AI49" s="15"/>
      <c r="AJ49" s="15" t="s">
        <v>61</v>
      </c>
    </row>
    <row r="50" ht="15.75" customHeight="1">
      <c r="A50" s="15" t="s">
        <v>542</v>
      </c>
      <c r="B50" s="23" t="s">
        <v>769</v>
      </c>
      <c r="C50" s="15" t="s">
        <v>770</v>
      </c>
      <c r="D50" s="15" t="s">
        <v>771</v>
      </c>
      <c r="E50" s="15" t="s">
        <v>33</v>
      </c>
      <c r="F50" s="15" t="s">
        <v>33</v>
      </c>
      <c r="G50" s="15" t="s">
        <v>33</v>
      </c>
      <c r="H50" s="15" t="s">
        <v>33</v>
      </c>
      <c r="I50" s="15" t="s">
        <v>33</v>
      </c>
      <c r="J50" s="15" t="s">
        <v>33</v>
      </c>
      <c r="K50" s="15" t="s">
        <v>33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20"/>
        <v>3.15</v>
      </c>
      <c r="V50" s="20" t="s">
        <v>33</v>
      </c>
      <c r="W50" s="20" t="s">
        <v>33</v>
      </c>
      <c r="X50" s="20" t="s">
        <v>33</v>
      </c>
      <c r="Y50" s="20" t="s">
        <v>33</v>
      </c>
      <c r="Z50" s="20" t="s">
        <v>33</v>
      </c>
      <c r="AA50" s="20" t="s">
        <v>33</v>
      </c>
      <c r="AB50" s="20" t="s">
        <v>33</v>
      </c>
      <c r="AC50" s="20" t="s">
        <v>33</v>
      </c>
      <c r="AD50" s="15">
        <f t="shared" si="21"/>
        <v>3.15</v>
      </c>
      <c r="AE50" s="15" t="s">
        <v>34</v>
      </c>
      <c r="AF50" s="15" t="s">
        <v>35</v>
      </c>
      <c r="AG50" s="15" t="s">
        <v>35</v>
      </c>
      <c r="AH50" s="15">
        <f t="shared" si="1"/>
        <v>10</v>
      </c>
      <c r="AI50" s="15"/>
      <c r="AJ50" s="15" t="s">
        <v>61</v>
      </c>
    </row>
    <row r="51" ht="15.75" customHeight="1">
      <c r="A51" s="15" t="s">
        <v>542</v>
      </c>
      <c r="B51" s="23" t="s">
        <v>772</v>
      </c>
      <c r="C51" s="15" t="s">
        <v>773</v>
      </c>
      <c r="D51" s="15" t="s">
        <v>33</v>
      </c>
      <c r="E51" s="15" t="s">
        <v>33</v>
      </c>
      <c r="F51" s="15" t="s">
        <v>33</v>
      </c>
      <c r="G51" s="15" t="s">
        <v>33</v>
      </c>
      <c r="H51" s="15" t="s">
        <v>33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20" t="s">
        <v>33</v>
      </c>
      <c r="V51" s="20" t="s">
        <v>33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20" t="s">
        <v>33</v>
      </c>
      <c r="AE51" s="15" t="s">
        <v>35</v>
      </c>
      <c r="AF51" s="15" t="s">
        <v>35</v>
      </c>
      <c r="AG51" s="15" t="s">
        <v>35</v>
      </c>
      <c r="AH51" s="15">
        <f t="shared" si="1"/>
        <v>-15</v>
      </c>
      <c r="AI51" s="15"/>
      <c r="AJ51" s="15" t="s">
        <v>61</v>
      </c>
    </row>
    <row r="52" ht="15.75" customHeight="1">
      <c r="A52" s="15" t="s">
        <v>542</v>
      </c>
      <c r="B52" s="23" t="s">
        <v>774</v>
      </c>
      <c r="C52" s="15" t="s">
        <v>775</v>
      </c>
      <c r="D52" s="15" t="s">
        <v>776</v>
      </c>
      <c r="E52" s="15" t="s">
        <v>777</v>
      </c>
      <c r="F52" s="15" t="s">
        <v>33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15">
        <f>TEXT(D52-C52,"[mm]")/60</f>
        <v>0.1</v>
      </c>
      <c r="V52" s="20" t="s">
        <v>33</v>
      </c>
      <c r="W52" s="20" t="s">
        <v>33</v>
      </c>
      <c r="X52" s="20" t="s">
        <v>33</v>
      </c>
      <c r="Y52" s="20" t="s">
        <v>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15">
        <f>AVERAGE(U52:AC52)</f>
        <v>0.1</v>
      </c>
      <c r="AE52" s="15" t="s">
        <v>34</v>
      </c>
      <c r="AF52" s="15" t="s">
        <v>35</v>
      </c>
      <c r="AG52" s="15" t="s">
        <v>35</v>
      </c>
      <c r="AH52" s="15">
        <f t="shared" si="1"/>
        <v>10</v>
      </c>
      <c r="AI52" s="15"/>
      <c r="AJ52" s="15" t="s">
        <v>61</v>
      </c>
    </row>
    <row r="53" ht="15.75" customHeight="1">
      <c r="A53" s="15" t="s">
        <v>542</v>
      </c>
      <c r="B53" s="23" t="s">
        <v>778</v>
      </c>
      <c r="C53" s="15" t="s">
        <v>779</v>
      </c>
      <c r="D53" s="15" t="s">
        <v>33</v>
      </c>
      <c r="E53" s="15" t="s">
        <v>33</v>
      </c>
      <c r="F53" s="15" t="s">
        <v>33</v>
      </c>
      <c r="G53" s="15" t="s">
        <v>33</v>
      </c>
      <c r="H53" s="15" t="s">
        <v>33</v>
      </c>
      <c r="I53" s="15" t="s">
        <v>33</v>
      </c>
      <c r="J53" s="15" t="s">
        <v>33</v>
      </c>
      <c r="K53" s="15" t="s">
        <v>33</v>
      </c>
      <c r="L53" s="15" t="s">
        <v>33</v>
      </c>
      <c r="M53" s="15" t="s">
        <v>33</v>
      </c>
      <c r="N53" s="15" t="s">
        <v>33</v>
      </c>
      <c r="O53" s="15" t="s">
        <v>33</v>
      </c>
      <c r="P53" s="15" t="s">
        <v>33</v>
      </c>
      <c r="Q53" s="15" t="s">
        <v>33</v>
      </c>
      <c r="R53" s="15" t="s">
        <v>33</v>
      </c>
      <c r="S53" s="15" t="s">
        <v>33</v>
      </c>
      <c r="T53" s="15" t="s">
        <v>33</v>
      </c>
      <c r="U53" s="20" t="s">
        <v>33</v>
      </c>
      <c r="V53" s="20" t="s">
        <v>33</v>
      </c>
      <c r="W53" s="20" t="s">
        <v>33</v>
      </c>
      <c r="X53" s="20" t="s">
        <v>33</v>
      </c>
      <c r="Y53" s="20" t="s">
        <v>33</v>
      </c>
      <c r="Z53" s="20" t="s">
        <v>33</v>
      </c>
      <c r="AA53" s="20" t="s">
        <v>33</v>
      </c>
      <c r="AB53" s="20" t="s">
        <v>33</v>
      </c>
      <c r="AC53" s="20" t="s">
        <v>33</v>
      </c>
      <c r="AD53" s="20" t="s">
        <v>33</v>
      </c>
      <c r="AE53" s="15" t="s">
        <v>35</v>
      </c>
      <c r="AF53" s="15" t="s">
        <v>35</v>
      </c>
      <c r="AG53" s="15" t="s">
        <v>35</v>
      </c>
      <c r="AH53" s="15">
        <f t="shared" si="1"/>
        <v>-15</v>
      </c>
      <c r="AI53" s="15"/>
      <c r="AJ53" s="15" t="s">
        <v>61</v>
      </c>
    </row>
    <row r="54" ht="15.75" customHeight="1">
      <c r="A54" s="15" t="s">
        <v>542</v>
      </c>
      <c r="B54" s="23" t="s">
        <v>780</v>
      </c>
      <c r="C54" s="15" t="s">
        <v>781</v>
      </c>
      <c r="D54" s="15" t="s">
        <v>782</v>
      </c>
      <c r="E54" s="15" t="s">
        <v>783</v>
      </c>
      <c r="F54" s="15" t="s">
        <v>33</v>
      </c>
      <c r="G54" s="15" t="s">
        <v>784</v>
      </c>
      <c r="H54" s="15" t="s">
        <v>33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15">
        <f t="shared" ref="U54:U63" si="23">TEXT(D54-C54,"[mm]")/60</f>
        <v>0.05</v>
      </c>
      <c r="V54" s="20" t="s">
        <v>33</v>
      </c>
      <c r="W54" s="20" t="s">
        <v>33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15">
        <f t="shared" ref="AD54:AD63" si="24">AVERAGE(U54:AC54)</f>
        <v>0.05</v>
      </c>
      <c r="AE54" s="15" t="s">
        <v>34</v>
      </c>
      <c r="AF54" s="15" t="s">
        <v>35</v>
      </c>
      <c r="AG54" s="15" t="s">
        <v>35</v>
      </c>
      <c r="AH54" s="15">
        <f t="shared" si="1"/>
        <v>10</v>
      </c>
      <c r="AI54" s="15"/>
      <c r="AJ54" s="15" t="s">
        <v>61</v>
      </c>
    </row>
    <row r="55" ht="15.75" customHeight="1">
      <c r="A55" s="15" t="s">
        <v>542</v>
      </c>
      <c r="B55" s="23" t="s">
        <v>785</v>
      </c>
      <c r="C55" s="15" t="s">
        <v>786</v>
      </c>
      <c r="D55" s="15" t="s">
        <v>787</v>
      </c>
      <c r="E55" s="15" t="s">
        <v>788</v>
      </c>
      <c r="F55" s="15" t="s">
        <v>789</v>
      </c>
      <c r="G55" s="15" t="s">
        <v>790</v>
      </c>
      <c r="H55" s="15" t="s">
        <v>791</v>
      </c>
      <c r="I55" s="15" t="s">
        <v>792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15">
        <f t="shared" si="23"/>
        <v>0.05</v>
      </c>
      <c r="V55" s="15">
        <f>TEXT(F55-E55,"[mm]")/60</f>
        <v>0.1</v>
      </c>
      <c r="W55" s="15">
        <f>TEXT(H55-G55,"[mm]")/60</f>
        <v>73.63333333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15">
        <f t="shared" si="24"/>
        <v>24.59444444</v>
      </c>
      <c r="AE55" s="15" t="s">
        <v>34</v>
      </c>
      <c r="AF55" s="15" t="s">
        <v>35</v>
      </c>
      <c r="AG55" s="15" t="s">
        <v>35</v>
      </c>
      <c r="AH55" s="15">
        <f t="shared" si="1"/>
        <v>10</v>
      </c>
      <c r="AI55" s="15"/>
      <c r="AJ55" s="15" t="s">
        <v>61</v>
      </c>
    </row>
    <row r="56" ht="15.75" customHeight="1">
      <c r="A56" s="15" t="s">
        <v>542</v>
      </c>
      <c r="B56" s="23" t="s">
        <v>793</v>
      </c>
      <c r="C56" s="15" t="s">
        <v>794</v>
      </c>
      <c r="D56" s="15" t="s">
        <v>795</v>
      </c>
      <c r="E56" s="15" t="s">
        <v>796</v>
      </c>
      <c r="F56" s="15" t="s">
        <v>33</v>
      </c>
      <c r="G56" s="15" t="s">
        <v>797</v>
      </c>
      <c r="H56" s="15" t="s">
        <v>33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15">
        <f t="shared" si="23"/>
        <v>0.06666666667</v>
      </c>
      <c r="V56" s="20" t="s">
        <v>33</v>
      </c>
      <c r="W56" s="20" t="s">
        <v>33</v>
      </c>
      <c r="X56" s="20" t="s">
        <v>33</v>
      </c>
      <c r="Y56" s="20" t="s">
        <v>33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15">
        <f t="shared" si="24"/>
        <v>0.06666666667</v>
      </c>
      <c r="AE56" s="15" t="s">
        <v>34</v>
      </c>
      <c r="AF56" s="15" t="s">
        <v>35</v>
      </c>
      <c r="AG56" s="15" t="s">
        <v>35</v>
      </c>
      <c r="AH56" s="15">
        <f t="shared" si="1"/>
        <v>10</v>
      </c>
      <c r="AI56" s="15"/>
      <c r="AJ56" s="15" t="s">
        <v>61</v>
      </c>
    </row>
    <row r="57" ht="15.75" customHeight="1">
      <c r="A57" s="15" t="s">
        <v>542</v>
      </c>
      <c r="B57" s="23" t="s">
        <v>798</v>
      </c>
      <c r="C57" s="15" t="s">
        <v>799</v>
      </c>
      <c r="D57" s="15" t="s">
        <v>800</v>
      </c>
      <c r="E57" s="15" t="s">
        <v>33</v>
      </c>
      <c r="F57" s="15" t="s">
        <v>33</v>
      </c>
      <c r="G57" s="15" t="s">
        <v>33</v>
      </c>
      <c r="H57" s="15" t="s">
        <v>33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si="23"/>
        <v>0.08333333333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15">
        <f t="shared" si="24"/>
        <v>0.08333333333</v>
      </c>
      <c r="AE57" s="15" t="s">
        <v>34</v>
      </c>
      <c r="AF57" s="15" t="s">
        <v>35</v>
      </c>
      <c r="AG57" s="15" t="s">
        <v>35</v>
      </c>
      <c r="AH57" s="15">
        <f t="shared" si="1"/>
        <v>10</v>
      </c>
      <c r="AI57" s="15"/>
      <c r="AJ57" s="15" t="s">
        <v>61</v>
      </c>
    </row>
    <row r="58" ht="15.75" customHeight="1">
      <c r="A58" s="15" t="s">
        <v>542</v>
      </c>
      <c r="B58" s="23" t="s">
        <v>801</v>
      </c>
      <c r="C58" s="15" t="s">
        <v>802</v>
      </c>
      <c r="D58" s="15" t="s">
        <v>803</v>
      </c>
      <c r="E58" s="15" t="s">
        <v>804</v>
      </c>
      <c r="F58" s="15" t="s">
        <v>805</v>
      </c>
      <c r="G58" s="15" t="s">
        <v>33</v>
      </c>
      <c r="H58" s="15" t="s">
        <v>33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si="23"/>
        <v>11.05</v>
      </c>
      <c r="V58" s="15">
        <f t="shared" ref="V58:V59" si="25">TEXT(F58-E58,"[mm]")/60</f>
        <v>15.21666667</v>
      </c>
      <c r="W58" s="20" t="s">
        <v>33</v>
      </c>
      <c r="X58" s="20" t="s">
        <v>33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15">
        <f t="shared" si="24"/>
        <v>13.13333333</v>
      </c>
      <c r="AE58" s="15" t="s">
        <v>34</v>
      </c>
      <c r="AF58" s="15" t="s">
        <v>35</v>
      </c>
      <c r="AG58" s="15" t="s">
        <v>35</v>
      </c>
      <c r="AH58" s="15">
        <f t="shared" si="1"/>
        <v>10</v>
      </c>
      <c r="AI58" s="15"/>
      <c r="AJ58" s="15" t="s">
        <v>61</v>
      </c>
    </row>
    <row r="59" ht="15.75" customHeight="1">
      <c r="A59" s="15" t="s">
        <v>542</v>
      </c>
      <c r="B59" s="16" t="s">
        <v>806</v>
      </c>
      <c r="C59" s="15" t="s">
        <v>807</v>
      </c>
      <c r="D59" s="15" t="s">
        <v>808</v>
      </c>
      <c r="E59" s="19">
        <v>46134.68194444444</v>
      </c>
      <c r="F59" s="19">
        <v>46135.79305555556</v>
      </c>
      <c r="G59" s="15" t="s">
        <v>33</v>
      </c>
      <c r="H59" s="15" t="s">
        <v>809</v>
      </c>
      <c r="I59" s="15" t="s">
        <v>33</v>
      </c>
      <c r="J59" s="15" t="s">
        <v>810</v>
      </c>
      <c r="K59" s="15" t="s">
        <v>33</v>
      </c>
      <c r="L59" s="15" t="s">
        <v>811</v>
      </c>
      <c r="M59" s="15" t="s">
        <v>33</v>
      </c>
      <c r="N59" s="15" t="s">
        <v>812</v>
      </c>
      <c r="O59" s="15" t="s">
        <v>33</v>
      </c>
      <c r="P59" s="15" t="s">
        <v>813</v>
      </c>
      <c r="Q59" s="15" t="s">
        <v>33</v>
      </c>
      <c r="R59" s="15" t="s">
        <v>814</v>
      </c>
      <c r="S59" s="15" t="s">
        <v>33</v>
      </c>
      <c r="T59" s="15" t="s">
        <v>815</v>
      </c>
      <c r="U59" s="15">
        <f t="shared" si="23"/>
        <v>137.1833333</v>
      </c>
      <c r="V59" s="15">
        <f t="shared" si="25"/>
        <v>26.66666667</v>
      </c>
      <c r="W59" s="20" t="s">
        <v>33</v>
      </c>
      <c r="X59" s="20" t="s">
        <v>33</v>
      </c>
      <c r="Y59" s="20" t="s">
        <v>33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si="24"/>
        <v>81.925</v>
      </c>
      <c r="AE59" s="15" t="s">
        <v>35</v>
      </c>
      <c r="AF59" s="15" t="s">
        <v>35</v>
      </c>
      <c r="AG59" s="15" t="s">
        <v>34</v>
      </c>
      <c r="AH59" s="15">
        <f t="shared" si="1"/>
        <v>-10</v>
      </c>
      <c r="AI59" s="15"/>
      <c r="AJ59" s="15" t="s">
        <v>61</v>
      </c>
    </row>
    <row r="60" ht="15.75" customHeight="1">
      <c r="A60" s="15" t="s">
        <v>542</v>
      </c>
      <c r="B60" s="23" t="s">
        <v>816</v>
      </c>
      <c r="C60" s="15" t="s">
        <v>817</v>
      </c>
      <c r="D60" s="15" t="s">
        <v>818</v>
      </c>
      <c r="E60" s="15" t="s">
        <v>33</v>
      </c>
      <c r="F60" s="15" t="s">
        <v>783</v>
      </c>
      <c r="G60" s="15" t="s">
        <v>33</v>
      </c>
      <c r="H60" s="15" t="s">
        <v>819</v>
      </c>
      <c r="I60" s="15" t="s">
        <v>33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15">
        <f t="shared" si="23"/>
        <v>16.45</v>
      </c>
      <c r="V60" s="20" t="s">
        <v>33</v>
      </c>
      <c r="W60" s="20" t="s">
        <v>33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15">
        <f t="shared" si="24"/>
        <v>16.45</v>
      </c>
      <c r="AE60" s="15" t="s">
        <v>34</v>
      </c>
      <c r="AF60" s="15" t="s">
        <v>35</v>
      </c>
      <c r="AG60" s="15" t="s">
        <v>35</v>
      </c>
      <c r="AH60" s="15">
        <f t="shared" si="1"/>
        <v>10</v>
      </c>
      <c r="AI60" s="15"/>
      <c r="AJ60" s="15" t="s">
        <v>61</v>
      </c>
    </row>
    <row r="61" ht="15.75" customHeight="1">
      <c r="A61" s="15" t="s">
        <v>542</v>
      </c>
      <c r="B61" s="23" t="s">
        <v>820</v>
      </c>
      <c r="C61" s="15" t="s">
        <v>821</v>
      </c>
      <c r="D61" s="15" t="s">
        <v>822</v>
      </c>
      <c r="E61" s="15" t="s">
        <v>33</v>
      </c>
      <c r="F61" s="15" t="s">
        <v>33</v>
      </c>
      <c r="G61" s="15" t="s">
        <v>33</v>
      </c>
      <c r="H61" s="15" t="s">
        <v>33</v>
      </c>
      <c r="I61" s="15" t="s">
        <v>33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 t="shared" si="23"/>
        <v>0.1</v>
      </c>
      <c r="V61" s="20" t="s">
        <v>33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15">
        <f t="shared" si="24"/>
        <v>0.1</v>
      </c>
      <c r="AE61" s="15" t="s">
        <v>34</v>
      </c>
      <c r="AF61" s="15" t="s">
        <v>35</v>
      </c>
      <c r="AG61" s="15" t="s">
        <v>35</v>
      </c>
      <c r="AH61" s="15">
        <f t="shared" si="1"/>
        <v>10</v>
      </c>
      <c r="AI61" s="15"/>
      <c r="AJ61" s="15" t="s">
        <v>61</v>
      </c>
    </row>
    <row r="62" ht="15.75" customHeight="1">
      <c r="A62" s="15" t="s">
        <v>542</v>
      </c>
      <c r="B62" s="23" t="s">
        <v>823</v>
      </c>
      <c r="C62" s="15" t="s">
        <v>824</v>
      </c>
      <c r="D62" s="15" t="s">
        <v>825</v>
      </c>
      <c r="E62" s="15" t="s">
        <v>33</v>
      </c>
      <c r="F62" s="15" t="s">
        <v>33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 t="shared" si="23"/>
        <v>0.1833333333</v>
      </c>
      <c r="V62" s="20" t="s">
        <v>33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15">
        <f t="shared" si="24"/>
        <v>0.1833333333</v>
      </c>
      <c r="AE62" s="15" t="s">
        <v>34</v>
      </c>
      <c r="AF62" s="15" t="s">
        <v>35</v>
      </c>
      <c r="AG62" s="15" t="s">
        <v>35</v>
      </c>
      <c r="AH62" s="15">
        <f t="shared" si="1"/>
        <v>10</v>
      </c>
      <c r="AI62" s="15"/>
      <c r="AJ62" s="15" t="s">
        <v>61</v>
      </c>
    </row>
    <row r="63" ht="15.75" customHeight="1">
      <c r="A63" s="15" t="s">
        <v>542</v>
      </c>
      <c r="B63" s="23" t="s">
        <v>826</v>
      </c>
      <c r="C63" s="15" t="s">
        <v>827</v>
      </c>
      <c r="D63" s="15" t="s">
        <v>828</v>
      </c>
      <c r="E63" s="19">
        <v>46132.774305555555</v>
      </c>
      <c r="F63" s="19">
        <v>46136.34166666667</v>
      </c>
      <c r="G63" s="19">
        <v>46136.51597222222</v>
      </c>
      <c r="H63" s="19">
        <v>46137.36736111111</v>
      </c>
      <c r="I63" s="19">
        <v>46136.745833333334</v>
      </c>
      <c r="J63" s="20" t="s">
        <v>829</v>
      </c>
      <c r="K63" s="19">
        <v>46137.53402777778</v>
      </c>
      <c r="L63" s="15" t="s">
        <v>830</v>
      </c>
      <c r="M63" s="19">
        <v>46137.725694444445</v>
      </c>
      <c r="N63" s="19">
        <v>46137.79305555556</v>
      </c>
      <c r="O63" s="15" t="s">
        <v>831</v>
      </c>
      <c r="P63" s="15" t="s">
        <v>832</v>
      </c>
      <c r="Q63" s="19">
        <v>46139.72083333333</v>
      </c>
      <c r="R63" s="19">
        <v>46140.49097222222</v>
      </c>
      <c r="S63" s="19">
        <v>46140.49444444444</v>
      </c>
      <c r="T63" s="19">
        <v>46140.55416666667</v>
      </c>
      <c r="U63" s="15">
        <f t="shared" si="23"/>
        <v>116.1833333</v>
      </c>
      <c r="V63" s="15">
        <f>TEXT(F63-E63,"[mm]")/60</f>
        <v>85.61666667</v>
      </c>
      <c r="W63" s="15">
        <f>TEXT(H63-G63,"[mm]")/60</f>
        <v>20.43333333</v>
      </c>
      <c r="X63" s="20" t="s">
        <v>33</v>
      </c>
      <c r="Y63" s="15">
        <f>TEXT(L63-K63,"[mm]")/60</f>
        <v>0</v>
      </c>
      <c r="Z63" s="15">
        <f>TEXT(N63-M63,"[mm]")/60</f>
        <v>1.616666667</v>
      </c>
      <c r="AA63" s="15">
        <f>TEXT(P63-O63,"[mm]")/60</f>
        <v>1.616666667</v>
      </c>
      <c r="AB63" s="15">
        <f>TEXT(R63-Q63,"[mm]")/60</f>
        <v>18.48333333</v>
      </c>
      <c r="AC63" s="15">
        <f>TEXT(T63-S63,"[mm]")/60</f>
        <v>1.433333333</v>
      </c>
      <c r="AD63" s="15">
        <f t="shared" si="24"/>
        <v>30.67291667</v>
      </c>
      <c r="AE63" s="15" t="s">
        <v>35</v>
      </c>
      <c r="AF63" s="15" t="s">
        <v>35</v>
      </c>
      <c r="AG63" s="15" t="s">
        <v>34</v>
      </c>
      <c r="AH63" s="15">
        <f t="shared" si="1"/>
        <v>-10</v>
      </c>
      <c r="AI63" s="15"/>
      <c r="AJ63" s="15" t="s">
        <v>61</v>
      </c>
    </row>
    <row r="64" ht="15.75" customHeight="1">
      <c r="A64" s="15" t="s">
        <v>542</v>
      </c>
      <c r="B64" s="23" t="s">
        <v>833</v>
      </c>
      <c r="C64" s="15" t="s">
        <v>834</v>
      </c>
      <c r="D64" s="15" t="s">
        <v>33</v>
      </c>
      <c r="E64" s="15" t="s">
        <v>33</v>
      </c>
      <c r="F64" s="15" t="s">
        <v>33</v>
      </c>
      <c r="G64" s="15" t="s">
        <v>33</v>
      </c>
      <c r="H64" s="15" t="s">
        <v>33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20" t="s">
        <v>33</v>
      </c>
      <c r="V64" s="20" t="s">
        <v>33</v>
      </c>
      <c r="W64" s="20" t="s">
        <v>33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20" t="s">
        <v>33</v>
      </c>
      <c r="AE64" s="15" t="s">
        <v>35</v>
      </c>
      <c r="AF64" s="15" t="s">
        <v>35</v>
      </c>
      <c r="AG64" s="15" t="s">
        <v>35</v>
      </c>
      <c r="AH64" s="15">
        <f t="shared" si="1"/>
        <v>-15</v>
      </c>
      <c r="AI64" s="15"/>
      <c r="AJ64" s="15" t="s">
        <v>61</v>
      </c>
    </row>
    <row r="65" ht="15.75" customHeight="1">
      <c r="A65" s="15" t="s">
        <v>542</v>
      </c>
      <c r="B65" s="23" t="s">
        <v>835</v>
      </c>
      <c r="C65" s="15" t="s">
        <v>836</v>
      </c>
      <c r="D65" s="15" t="s">
        <v>837</v>
      </c>
      <c r="E65" s="15" t="s">
        <v>838</v>
      </c>
      <c r="F65" s="15" t="s">
        <v>839</v>
      </c>
      <c r="G65" s="15" t="s">
        <v>33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ref="U65:U67" si="26">TEXT(D65-C65,"[mm]")/60</f>
        <v>18.16666667</v>
      </c>
      <c r="V65" s="15">
        <f>TEXT(F65-E65,"[mm]")/60</f>
        <v>4.15</v>
      </c>
      <c r="W65" s="20" t="s">
        <v>33</v>
      </c>
      <c r="X65" s="20" t="s">
        <v>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ref="AD65:AD67" si="27">AVERAGE(U65:AC65)</f>
        <v>11.15833333</v>
      </c>
      <c r="AE65" s="15" t="s">
        <v>34</v>
      </c>
      <c r="AF65" s="15" t="s">
        <v>35</v>
      </c>
      <c r="AG65" s="15" t="s">
        <v>35</v>
      </c>
      <c r="AH65" s="15">
        <f t="shared" si="1"/>
        <v>10</v>
      </c>
      <c r="AI65" s="15"/>
      <c r="AJ65" s="15" t="s">
        <v>61</v>
      </c>
    </row>
    <row r="66" ht="15.75" customHeight="1">
      <c r="A66" s="15" t="s">
        <v>542</v>
      </c>
      <c r="B66" s="23" t="s">
        <v>840</v>
      </c>
      <c r="C66" s="15" t="s">
        <v>841</v>
      </c>
      <c r="D66" s="15" t="s">
        <v>842</v>
      </c>
      <c r="E66" s="15" t="s">
        <v>33</v>
      </c>
      <c r="F66" s="15" t="s">
        <v>843</v>
      </c>
      <c r="G66" s="15" t="s">
        <v>33</v>
      </c>
      <c r="H66" s="15" t="s">
        <v>844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>
        <f t="shared" si="26"/>
        <v>0.06666666667</v>
      </c>
      <c r="V66" s="20" t="s">
        <v>33</v>
      </c>
      <c r="W66" s="20" t="s">
        <v>33</v>
      </c>
      <c r="X66" s="20" t="s">
        <v>33</v>
      </c>
      <c r="Y66" s="20" t="s">
        <v>33</v>
      </c>
      <c r="Z66" s="20" t="s">
        <v>33</v>
      </c>
      <c r="AA66" s="20" t="s">
        <v>33</v>
      </c>
      <c r="AB66" s="20" t="s">
        <v>33</v>
      </c>
      <c r="AC66" s="20" t="s">
        <v>33</v>
      </c>
      <c r="AD66" s="15">
        <f t="shared" si="27"/>
        <v>0.06666666667</v>
      </c>
      <c r="AE66" s="15" t="s">
        <v>34</v>
      </c>
      <c r="AF66" s="15" t="s">
        <v>35</v>
      </c>
      <c r="AG66" s="15" t="s">
        <v>35</v>
      </c>
      <c r="AH66" s="15">
        <f t="shared" si="1"/>
        <v>10</v>
      </c>
      <c r="AI66" s="15"/>
      <c r="AJ66" s="15" t="s">
        <v>61</v>
      </c>
    </row>
    <row r="67" ht="15.75" customHeight="1">
      <c r="A67" s="15" t="s">
        <v>542</v>
      </c>
      <c r="B67" s="23" t="s">
        <v>845</v>
      </c>
      <c r="C67" s="15" t="s">
        <v>846</v>
      </c>
      <c r="D67" s="15" t="s">
        <v>847</v>
      </c>
      <c r="E67" s="15" t="s">
        <v>848</v>
      </c>
      <c r="F67" s="15" t="s">
        <v>849</v>
      </c>
      <c r="G67" s="15" t="s">
        <v>850</v>
      </c>
      <c r="H67" s="15" t="s">
        <v>851</v>
      </c>
      <c r="I67" s="15" t="s">
        <v>852</v>
      </c>
      <c r="J67" s="15" t="s">
        <v>853</v>
      </c>
      <c r="K67" s="15" t="s">
        <v>854</v>
      </c>
      <c r="L67" s="15" t="s">
        <v>855</v>
      </c>
      <c r="M67" s="15" t="s">
        <v>33</v>
      </c>
      <c r="N67" s="15" t="s">
        <v>33</v>
      </c>
      <c r="O67" s="15" t="s">
        <v>33</v>
      </c>
      <c r="P67" s="15" t="s">
        <v>33</v>
      </c>
      <c r="Q67" s="15" t="s">
        <v>33</v>
      </c>
      <c r="R67" s="15" t="s">
        <v>33</v>
      </c>
      <c r="S67" s="15" t="s">
        <v>33</v>
      </c>
      <c r="T67" s="15" t="s">
        <v>33</v>
      </c>
      <c r="U67" s="15">
        <f t="shared" si="26"/>
        <v>0.08333333333</v>
      </c>
      <c r="V67" s="15">
        <f>TEXT(F67-E67,"[mm]")/60</f>
        <v>4.7</v>
      </c>
      <c r="W67" s="15">
        <f>TEXT(H67-G67,"[mm]")/60</f>
        <v>3.816666667</v>
      </c>
      <c r="X67" s="15">
        <f>TEXT(J67-I67,"[mm]")/60</f>
        <v>1.266666667</v>
      </c>
      <c r="Y67" s="15">
        <f>TEXT(L67-K67,"[mm]")/60</f>
        <v>481.5666667</v>
      </c>
      <c r="Z67" s="20" t="s">
        <v>33</v>
      </c>
      <c r="AA67" s="20" t="s">
        <v>33</v>
      </c>
      <c r="AB67" s="20" t="s">
        <v>33</v>
      </c>
      <c r="AC67" s="20" t="s">
        <v>33</v>
      </c>
      <c r="AD67" s="15">
        <f t="shared" si="27"/>
        <v>98.28666667</v>
      </c>
      <c r="AE67" s="15" t="s">
        <v>34</v>
      </c>
      <c r="AF67" s="15" t="s">
        <v>35</v>
      </c>
      <c r="AG67" s="15" t="s">
        <v>35</v>
      </c>
      <c r="AH67" s="15">
        <f t="shared" si="1"/>
        <v>10</v>
      </c>
      <c r="AI67" s="15"/>
      <c r="AJ67" s="15" t="s">
        <v>61</v>
      </c>
    </row>
    <row r="68" ht="15.75" customHeight="1">
      <c r="A68" s="15" t="s">
        <v>542</v>
      </c>
      <c r="B68" s="23" t="s">
        <v>856</v>
      </c>
      <c r="C68" s="15" t="s">
        <v>857</v>
      </c>
      <c r="D68" s="15" t="s">
        <v>33</v>
      </c>
      <c r="E68" s="15" t="s">
        <v>33</v>
      </c>
      <c r="F68" s="15" t="s">
        <v>33</v>
      </c>
      <c r="G68" s="15" t="s">
        <v>33</v>
      </c>
      <c r="H68" s="15" t="s">
        <v>33</v>
      </c>
      <c r="I68" s="15" t="s">
        <v>33</v>
      </c>
      <c r="J68" s="15" t="s">
        <v>33</v>
      </c>
      <c r="K68" s="15" t="s">
        <v>33</v>
      </c>
      <c r="L68" s="15" t="s">
        <v>33</v>
      </c>
      <c r="M68" s="15" t="s">
        <v>33</v>
      </c>
      <c r="N68" s="15" t="s">
        <v>33</v>
      </c>
      <c r="O68" s="15" t="s">
        <v>33</v>
      </c>
      <c r="P68" s="15" t="s">
        <v>33</v>
      </c>
      <c r="Q68" s="15" t="s">
        <v>33</v>
      </c>
      <c r="R68" s="15" t="s">
        <v>33</v>
      </c>
      <c r="S68" s="15" t="s">
        <v>33</v>
      </c>
      <c r="T68" s="15" t="s">
        <v>33</v>
      </c>
      <c r="U68" s="20" t="s">
        <v>33</v>
      </c>
      <c r="V68" s="20" t="s">
        <v>33</v>
      </c>
      <c r="W68" s="20" t="s">
        <v>33</v>
      </c>
      <c r="X68" s="20" t="s">
        <v>33</v>
      </c>
      <c r="Y68" s="20" t="s">
        <v>33</v>
      </c>
      <c r="Z68" s="20" t="s">
        <v>33</v>
      </c>
      <c r="AA68" s="20" t="s">
        <v>33</v>
      </c>
      <c r="AB68" s="20" t="s">
        <v>33</v>
      </c>
      <c r="AC68" s="20" t="s">
        <v>33</v>
      </c>
      <c r="AD68" s="20" t="s">
        <v>33</v>
      </c>
      <c r="AE68" s="15" t="s">
        <v>35</v>
      </c>
      <c r="AF68" s="15" t="s">
        <v>35</v>
      </c>
      <c r="AG68" s="15" t="s">
        <v>35</v>
      </c>
      <c r="AH68" s="15">
        <f t="shared" si="1"/>
        <v>-15</v>
      </c>
      <c r="AI68" s="15"/>
      <c r="AJ68" s="15" t="s">
        <v>61</v>
      </c>
    </row>
    <row r="69" ht="15.75" customHeight="1">
      <c r="A69" s="15" t="s">
        <v>542</v>
      </c>
      <c r="B69" s="23" t="s">
        <v>858</v>
      </c>
      <c r="C69" s="15" t="s">
        <v>859</v>
      </c>
      <c r="D69" s="15" t="s">
        <v>860</v>
      </c>
      <c r="E69" s="15" t="s">
        <v>33</v>
      </c>
      <c r="F69" s="15" t="s">
        <v>33</v>
      </c>
      <c r="G69" s="15" t="s">
        <v>33</v>
      </c>
      <c r="H69" s="15" t="s">
        <v>33</v>
      </c>
      <c r="I69" s="15" t="s">
        <v>33</v>
      </c>
      <c r="J69" s="15" t="s">
        <v>33</v>
      </c>
      <c r="K69" s="15" t="s">
        <v>33</v>
      </c>
      <c r="L69" s="15" t="s">
        <v>33</v>
      </c>
      <c r="M69" s="15" t="s">
        <v>33</v>
      </c>
      <c r="N69" s="15" t="s">
        <v>33</v>
      </c>
      <c r="O69" s="15" t="s">
        <v>33</v>
      </c>
      <c r="P69" s="15" t="s">
        <v>33</v>
      </c>
      <c r="Q69" s="15" t="s">
        <v>33</v>
      </c>
      <c r="R69" s="15" t="s">
        <v>33</v>
      </c>
      <c r="S69" s="15" t="s">
        <v>33</v>
      </c>
      <c r="T69" s="15" t="s">
        <v>33</v>
      </c>
      <c r="U69" s="15">
        <f t="shared" ref="U69:U73" si="28">TEXT(D69-C69,"[mm]")/60</f>
        <v>17.85</v>
      </c>
      <c r="V69" s="20" t="s">
        <v>33</v>
      </c>
      <c r="W69" s="20" t="s">
        <v>33</v>
      </c>
      <c r="X69" s="20" t="s">
        <v>33</v>
      </c>
      <c r="Y69" s="20" t="s">
        <v>33</v>
      </c>
      <c r="Z69" s="20" t="s">
        <v>33</v>
      </c>
      <c r="AA69" s="20" t="s">
        <v>33</v>
      </c>
      <c r="AB69" s="20" t="s">
        <v>33</v>
      </c>
      <c r="AC69" s="20" t="s">
        <v>33</v>
      </c>
      <c r="AD69" s="15">
        <f t="shared" ref="AD69:AD73" si="29">AVERAGE(U69:AC69)</f>
        <v>17.85</v>
      </c>
      <c r="AE69" s="15" t="s">
        <v>34</v>
      </c>
      <c r="AF69" s="15" t="s">
        <v>35</v>
      </c>
      <c r="AG69" s="15" t="s">
        <v>35</v>
      </c>
      <c r="AH69" s="15">
        <f t="shared" si="1"/>
        <v>10</v>
      </c>
      <c r="AI69" s="15"/>
      <c r="AJ69" s="15" t="s">
        <v>61</v>
      </c>
    </row>
    <row r="70" ht="15.75" customHeight="1">
      <c r="A70" s="15" t="s">
        <v>542</v>
      </c>
      <c r="B70" s="23" t="s">
        <v>861</v>
      </c>
      <c r="C70" s="15" t="s">
        <v>862</v>
      </c>
      <c r="D70" s="15" t="s">
        <v>863</v>
      </c>
      <c r="E70" s="15" t="s">
        <v>863</v>
      </c>
      <c r="F70" s="15" t="s">
        <v>864</v>
      </c>
      <c r="G70" s="15" t="s">
        <v>865</v>
      </c>
      <c r="H70" s="15" t="s">
        <v>866</v>
      </c>
      <c r="I70" s="15" t="s">
        <v>867</v>
      </c>
      <c r="J70" s="15" t="s">
        <v>411</v>
      </c>
      <c r="K70" s="15" t="s">
        <v>868</v>
      </c>
      <c r="L70" s="15" t="s">
        <v>33</v>
      </c>
      <c r="M70" s="15" t="s">
        <v>33</v>
      </c>
      <c r="N70" s="15" t="s">
        <v>33</v>
      </c>
      <c r="O70" s="15" t="s">
        <v>33</v>
      </c>
      <c r="P70" s="15" t="s">
        <v>33</v>
      </c>
      <c r="Q70" s="15" t="s">
        <v>33</v>
      </c>
      <c r="R70" s="15" t="s">
        <v>33</v>
      </c>
      <c r="S70" s="15" t="s">
        <v>33</v>
      </c>
      <c r="T70" s="15" t="s">
        <v>33</v>
      </c>
      <c r="U70" s="15">
        <f t="shared" si="28"/>
        <v>0.03333333333</v>
      </c>
      <c r="V70" s="15">
        <f t="shared" ref="V70:V71" si="30">TEXT(F70-E70,"[mm]")/60</f>
        <v>2.6</v>
      </c>
      <c r="W70" s="15">
        <f t="shared" ref="W70:W71" si="31">TEXT(H70-G70,"[mm]")/60</f>
        <v>45.35</v>
      </c>
      <c r="X70" s="15">
        <f>TEXT(J70-I70,"[mm]")/60</f>
        <v>4.616666667</v>
      </c>
      <c r="Y70" s="20" t="s">
        <v>33</v>
      </c>
      <c r="Z70" s="20" t="s">
        <v>33</v>
      </c>
      <c r="AA70" s="20" t="s">
        <v>33</v>
      </c>
      <c r="AB70" s="20" t="s">
        <v>33</v>
      </c>
      <c r="AC70" s="20" t="s">
        <v>33</v>
      </c>
      <c r="AD70" s="15">
        <f t="shared" si="29"/>
        <v>13.15</v>
      </c>
      <c r="AE70" s="15" t="s">
        <v>34</v>
      </c>
      <c r="AF70" s="15" t="s">
        <v>35</v>
      </c>
      <c r="AG70" s="15" t="s">
        <v>35</v>
      </c>
      <c r="AH70" s="15">
        <f t="shared" si="1"/>
        <v>10</v>
      </c>
      <c r="AI70" s="15"/>
      <c r="AJ70" s="15" t="s">
        <v>61</v>
      </c>
    </row>
    <row r="71" ht="15.75" customHeight="1">
      <c r="A71" s="15" t="s">
        <v>542</v>
      </c>
      <c r="B71" s="23" t="s">
        <v>869</v>
      </c>
      <c r="C71" s="15" t="s">
        <v>870</v>
      </c>
      <c r="D71" s="15" t="s">
        <v>871</v>
      </c>
      <c r="E71" s="15" t="s">
        <v>872</v>
      </c>
      <c r="F71" s="15" t="s">
        <v>873</v>
      </c>
      <c r="G71" s="15" t="s">
        <v>874</v>
      </c>
      <c r="H71" s="15" t="s">
        <v>875</v>
      </c>
      <c r="I71" s="15" t="s">
        <v>876</v>
      </c>
      <c r="J71" s="15" t="s">
        <v>33</v>
      </c>
      <c r="K71" s="15" t="s">
        <v>877</v>
      </c>
      <c r="L71" s="15" t="s">
        <v>33</v>
      </c>
      <c r="M71" s="15" t="s">
        <v>878</v>
      </c>
      <c r="N71" s="15" t="s">
        <v>33</v>
      </c>
      <c r="O71" s="15" t="s">
        <v>879</v>
      </c>
      <c r="P71" s="15" t="s">
        <v>33</v>
      </c>
      <c r="Q71" s="15" t="s">
        <v>880</v>
      </c>
      <c r="R71" s="15" t="s">
        <v>33</v>
      </c>
      <c r="S71" s="15" t="s">
        <v>881</v>
      </c>
      <c r="T71" s="15" t="s">
        <v>33</v>
      </c>
      <c r="U71" s="15">
        <f t="shared" si="28"/>
        <v>0.05</v>
      </c>
      <c r="V71" s="15">
        <f t="shared" si="30"/>
        <v>4.783333333</v>
      </c>
      <c r="W71" s="15">
        <f t="shared" si="31"/>
        <v>8.383333333</v>
      </c>
      <c r="X71" s="20" t="s">
        <v>33</v>
      </c>
      <c r="Y71" s="20" t="s">
        <v>33</v>
      </c>
      <c r="Z71" s="20" t="s">
        <v>33</v>
      </c>
      <c r="AA71" s="20" t="s">
        <v>33</v>
      </c>
      <c r="AB71" s="20" t="s">
        <v>33</v>
      </c>
      <c r="AC71" s="20" t="s">
        <v>33</v>
      </c>
      <c r="AD71" s="15">
        <f t="shared" si="29"/>
        <v>4.405555556</v>
      </c>
      <c r="AE71" s="15" t="s">
        <v>34</v>
      </c>
      <c r="AF71" s="15" t="s">
        <v>35</v>
      </c>
      <c r="AG71" s="15" t="s">
        <v>35</v>
      </c>
      <c r="AH71" s="15">
        <f t="shared" si="1"/>
        <v>10</v>
      </c>
      <c r="AI71" s="15"/>
      <c r="AJ71" s="15" t="s">
        <v>61</v>
      </c>
    </row>
    <row r="72" ht="15.75" customHeight="1">
      <c r="A72" s="15" t="s">
        <v>542</v>
      </c>
      <c r="B72" s="23" t="s">
        <v>882</v>
      </c>
      <c r="C72" s="15" t="s">
        <v>883</v>
      </c>
      <c r="D72" s="15" t="s">
        <v>884</v>
      </c>
      <c r="E72" s="15" t="s">
        <v>33</v>
      </c>
      <c r="F72" s="15" t="s">
        <v>33</v>
      </c>
      <c r="G72" s="15" t="s">
        <v>33</v>
      </c>
      <c r="H72" s="15" t="s">
        <v>33</v>
      </c>
      <c r="I72" s="15" t="s">
        <v>33</v>
      </c>
      <c r="J72" s="15" t="s">
        <v>33</v>
      </c>
      <c r="K72" s="15" t="s">
        <v>33</v>
      </c>
      <c r="L72" s="15" t="s">
        <v>33</v>
      </c>
      <c r="M72" s="15" t="s">
        <v>33</v>
      </c>
      <c r="N72" s="15" t="s">
        <v>33</v>
      </c>
      <c r="O72" s="15" t="s">
        <v>33</v>
      </c>
      <c r="P72" s="15" t="s">
        <v>33</v>
      </c>
      <c r="Q72" s="15" t="s">
        <v>33</v>
      </c>
      <c r="R72" s="15" t="s">
        <v>33</v>
      </c>
      <c r="S72" s="15" t="s">
        <v>33</v>
      </c>
      <c r="T72" s="15" t="s">
        <v>33</v>
      </c>
      <c r="U72" s="15">
        <f t="shared" si="28"/>
        <v>0.01666666667</v>
      </c>
      <c r="V72" s="20" t="s">
        <v>33</v>
      </c>
      <c r="W72" s="20" t="s">
        <v>33</v>
      </c>
      <c r="X72" s="20" t="s">
        <v>33</v>
      </c>
      <c r="Y72" s="20" t="s">
        <v>33</v>
      </c>
      <c r="Z72" s="20" t="s">
        <v>33</v>
      </c>
      <c r="AA72" s="20" t="s">
        <v>33</v>
      </c>
      <c r="AB72" s="20" t="s">
        <v>33</v>
      </c>
      <c r="AC72" s="20" t="s">
        <v>33</v>
      </c>
      <c r="AD72" s="15">
        <f t="shared" si="29"/>
        <v>0.01666666667</v>
      </c>
      <c r="AE72" s="15" t="s">
        <v>34</v>
      </c>
      <c r="AF72" s="15" t="s">
        <v>35</v>
      </c>
      <c r="AG72" s="15" t="s">
        <v>35</v>
      </c>
      <c r="AH72" s="15">
        <f t="shared" si="1"/>
        <v>10</v>
      </c>
      <c r="AI72" s="15"/>
      <c r="AJ72" s="15" t="s">
        <v>61</v>
      </c>
    </row>
    <row r="73" ht="15.75" customHeight="1">
      <c r="A73" s="15" t="s">
        <v>542</v>
      </c>
      <c r="B73" s="23" t="s">
        <v>885</v>
      </c>
      <c r="C73" s="15" t="s">
        <v>886</v>
      </c>
      <c r="D73" s="15" t="s">
        <v>887</v>
      </c>
      <c r="E73" s="19">
        <v>46126.74652777778</v>
      </c>
      <c r="F73" s="19">
        <v>46127.975</v>
      </c>
      <c r="G73" s="15" t="s">
        <v>33</v>
      </c>
      <c r="H73" s="15" t="s">
        <v>888</v>
      </c>
      <c r="I73" s="15" t="s">
        <v>33</v>
      </c>
      <c r="J73" s="15" t="s">
        <v>889</v>
      </c>
      <c r="K73" s="15" t="s">
        <v>33</v>
      </c>
      <c r="L73" s="15" t="s">
        <v>33</v>
      </c>
      <c r="M73" s="15" t="s">
        <v>33</v>
      </c>
      <c r="N73" s="15" t="s">
        <v>33</v>
      </c>
      <c r="O73" s="15" t="s">
        <v>33</v>
      </c>
      <c r="P73" s="15" t="s">
        <v>33</v>
      </c>
      <c r="Q73" s="15" t="s">
        <v>33</v>
      </c>
      <c r="R73" s="15" t="s">
        <v>33</v>
      </c>
      <c r="S73" s="15" t="s">
        <v>33</v>
      </c>
      <c r="T73" s="15" t="s">
        <v>33</v>
      </c>
      <c r="U73" s="15">
        <f t="shared" si="28"/>
        <v>2.8</v>
      </c>
      <c r="V73" s="15">
        <f>TEXT(F73-E73,"[mm]")/60</f>
        <v>29.48333333</v>
      </c>
      <c r="W73" s="20" t="s">
        <v>33</v>
      </c>
      <c r="X73" s="20" t="s">
        <v>33</v>
      </c>
      <c r="Y73" s="20" t="s">
        <v>33</v>
      </c>
      <c r="Z73" s="20" t="s">
        <v>33</v>
      </c>
      <c r="AA73" s="20" t="s">
        <v>33</v>
      </c>
      <c r="AB73" s="20" t="s">
        <v>33</v>
      </c>
      <c r="AC73" s="20" t="s">
        <v>33</v>
      </c>
      <c r="AD73" s="15">
        <f t="shared" si="29"/>
        <v>16.14166667</v>
      </c>
      <c r="AE73" s="15" t="s">
        <v>34</v>
      </c>
      <c r="AF73" s="15" t="s">
        <v>35</v>
      </c>
      <c r="AG73" s="15" t="s">
        <v>35</v>
      </c>
      <c r="AH73" s="15">
        <f t="shared" si="1"/>
        <v>10</v>
      </c>
      <c r="AI73" s="15"/>
      <c r="AJ73" s="15" t="s">
        <v>61</v>
      </c>
    </row>
    <row r="74" ht="15.75" customHeight="1">
      <c r="A74" s="15" t="s">
        <v>542</v>
      </c>
      <c r="B74" s="23" t="s">
        <v>890</v>
      </c>
      <c r="C74" s="15" t="s">
        <v>886</v>
      </c>
      <c r="D74" s="15" t="s">
        <v>33</v>
      </c>
      <c r="E74" s="15" t="s">
        <v>33</v>
      </c>
      <c r="F74" s="15" t="s">
        <v>33</v>
      </c>
      <c r="G74" s="15" t="s">
        <v>33</v>
      </c>
      <c r="H74" s="15" t="s">
        <v>33</v>
      </c>
      <c r="I74" s="15" t="s">
        <v>33</v>
      </c>
      <c r="J74" s="15" t="s">
        <v>33</v>
      </c>
      <c r="K74" s="15" t="s">
        <v>33</v>
      </c>
      <c r="L74" s="15" t="s">
        <v>33</v>
      </c>
      <c r="M74" s="15" t="s">
        <v>33</v>
      </c>
      <c r="N74" s="15" t="s">
        <v>33</v>
      </c>
      <c r="O74" s="15" t="s">
        <v>33</v>
      </c>
      <c r="P74" s="15" t="s">
        <v>33</v>
      </c>
      <c r="Q74" s="15" t="s">
        <v>33</v>
      </c>
      <c r="R74" s="15" t="s">
        <v>33</v>
      </c>
      <c r="S74" s="15" t="s">
        <v>33</v>
      </c>
      <c r="T74" s="15" t="s">
        <v>33</v>
      </c>
      <c r="U74" s="20" t="s">
        <v>33</v>
      </c>
      <c r="V74" s="20" t="s">
        <v>33</v>
      </c>
      <c r="W74" s="20" t="s">
        <v>33</v>
      </c>
      <c r="X74" s="20" t="s">
        <v>33</v>
      </c>
      <c r="Y74" s="20" t="s">
        <v>33</v>
      </c>
      <c r="Z74" s="20" t="s">
        <v>33</v>
      </c>
      <c r="AA74" s="20" t="s">
        <v>33</v>
      </c>
      <c r="AB74" s="20" t="s">
        <v>33</v>
      </c>
      <c r="AC74" s="20" t="s">
        <v>33</v>
      </c>
      <c r="AD74" s="20" t="s">
        <v>33</v>
      </c>
      <c r="AE74" s="15" t="s">
        <v>35</v>
      </c>
      <c r="AF74" s="15" t="s">
        <v>35</v>
      </c>
      <c r="AG74" s="15" t="s">
        <v>35</v>
      </c>
      <c r="AH74" s="15">
        <f t="shared" si="1"/>
        <v>-15</v>
      </c>
      <c r="AI74" s="15"/>
      <c r="AJ74" s="15" t="s">
        <v>61</v>
      </c>
    </row>
    <row r="75" ht="15.75" customHeight="1">
      <c r="A75" s="15" t="s">
        <v>542</v>
      </c>
      <c r="B75" s="23" t="s">
        <v>891</v>
      </c>
      <c r="C75" s="15" t="s">
        <v>892</v>
      </c>
      <c r="D75" s="15" t="s">
        <v>33</v>
      </c>
      <c r="E75" s="15" t="s">
        <v>893</v>
      </c>
      <c r="F75" s="15" t="s">
        <v>33</v>
      </c>
      <c r="G75" s="15" t="s">
        <v>33</v>
      </c>
      <c r="H75" s="15" t="s">
        <v>33</v>
      </c>
      <c r="I75" s="15" t="s">
        <v>33</v>
      </c>
      <c r="J75" s="15" t="s">
        <v>33</v>
      </c>
      <c r="K75" s="15" t="s">
        <v>33</v>
      </c>
      <c r="L75" s="15" t="s">
        <v>33</v>
      </c>
      <c r="M75" s="15" t="s">
        <v>33</v>
      </c>
      <c r="N75" s="15" t="s">
        <v>33</v>
      </c>
      <c r="O75" s="15" t="s">
        <v>33</v>
      </c>
      <c r="P75" s="15" t="s">
        <v>33</v>
      </c>
      <c r="Q75" s="15" t="s">
        <v>33</v>
      </c>
      <c r="R75" s="15" t="s">
        <v>33</v>
      </c>
      <c r="S75" s="15" t="s">
        <v>33</v>
      </c>
      <c r="T75" s="15" t="s">
        <v>33</v>
      </c>
      <c r="U75" s="20" t="s">
        <v>33</v>
      </c>
      <c r="V75" s="20" t="s">
        <v>33</v>
      </c>
      <c r="W75" s="20" t="s">
        <v>33</v>
      </c>
      <c r="X75" s="20" t="s">
        <v>33</v>
      </c>
      <c r="Y75" s="20" t="s">
        <v>33</v>
      </c>
      <c r="Z75" s="20" t="s">
        <v>33</v>
      </c>
      <c r="AA75" s="20" t="s">
        <v>33</v>
      </c>
      <c r="AB75" s="20" t="s">
        <v>33</v>
      </c>
      <c r="AC75" s="20" t="s">
        <v>33</v>
      </c>
      <c r="AD75" s="20" t="s">
        <v>33</v>
      </c>
      <c r="AE75" s="15" t="s">
        <v>35</v>
      </c>
      <c r="AF75" s="15" t="s">
        <v>35</v>
      </c>
      <c r="AG75" s="15" t="s">
        <v>35</v>
      </c>
      <c r="AH75" s="15">
        <f t="shared" si="1"/>
        <v>-15</v>
      </c>
      <c r="AI75" s="15"/>
      <c r="AJ75" s="15" t="s">
        <v>61</v>
      </c>
    </row>
    <row r="76" ht="15.75" customHeight="1">
      <c r="A76" s="15" t="s">
        <v>542</v>
      </c>
      <c r="B76" s="23" t="s">
        <v>894</v>
      </c>
      <c r="C76" s="15" t="s">
        <v>895</v>
      </c>
      <c r="D76" s="15" t="s">
        <v>896</v>
      </c>
      <c r="E76" s="15" t="s">
        <v>897</v>
      </c>
      <c r="F76" s="15" t="s">
        <v>898</v>
      </c>
      <c r="G76" s="15" t="s">
        <v>33</v>
      </c>
      <c r="H76" s="15" t="s">
        <v>33</v>
      </c>
      <c r="I76" s="15" t="s">
        <v>33</v>
      </c>
      <c r="J76" s="15" t="s">
        <v>33</v>
      </c>
      <c r="K76" s="15" t="s">
        <v>33</v>
      </c>
      <c r="L76" s="15" t="s">
        <v>33</v>
      </c>
      <c r="M76" s="15" t="s">
        <v>33</v>
      </c>
      <c r="N76" s="15" t="s">
        <v>33</v>
      </c>
      <c r="O76" s="15" t="s">
        <v>33</v>
      </c>
      <c r="P76" s="15" t="s">
        <v>33</v>
      </c>
      <c r="Q76" s="15" t="s">
        <v>33</v>
      </c>
      <c r="R76" s="15" t="s">
        <v>33</v>
      </c>
      <c r="S76" s="15" t="s">
        <v>33</v>
      </c>
      <c r="T76" s="15" t="s">
        <v>33</v>
      </c>
      <c r="U76" s="15">
        <f t="shared" ref="U76:U79" si="32">TEXT(D76-C76,"[mm]")/60</f>
        <v>0.35</v>
      </c>
      <c r="V76" s="15">
        <f t="shared" ref="V76:V78" si="33">TEXT(F76-E76,"[mm]")/60</f>
        <v>10.21666667</v>
      </c>
      <c r="W76" s="20" t="s">
        <v>33</v>
      </c>
      <c r="X76" s="20" t="s">
        <v>33</v>
      </c>
      <c r="Y76" s="20" t="s">
        <v>33</v>
      </c>
      <c r="Z76" s="20" t="s">
        <v>33</v>
      </c>
      <c r="AA76" s="20" t="s">
        <v>33</v>
      </c>
      <c r="AB76" s="20" t="s">
        <v>33</v>
      </c>
      <c r="AC76" s="20" t="s">
        <v>33</v>
      </c>
      <c r="AD76" s="15">
        <f t="shared" ref="AD76:AD79" si="34">AVERAGE(U76:AC76)</f>
        <v>5.283333333</v>
      </c>
      <c r="AE76" s="15" t="s">
        <v>34</v>
      </c>
      <c r="AF76" s="15" t="s">
        <v>35</v>
      </c>
      <c r="AG76" s="15" t="s">
        <v>35</v>
      </c>
      <c r="AH76" s="15">
        <f t="shared" si="1"/>
        <v>10</v>
      </c>
      <c r="AI76" s="15"/>
      <c r="AJ76" s="15" t="s">
        <v>61</v>
      </c>
    </row>
    <row r="77" ht="15.75" customHeight="1">
      <c r="A77" s="15" t="s">
        <v>542</v>
      </c>
      <c r="B77" s="23" t="s">
        <v>899</v>
      </c>
      <c r="C77" s="15" t="s">
        <v>900</v>
      </c>
      <c r="D77" s="15" t="s">
        <v>901</v>
      </c>
      <c r="E77" s="15" t="s">
        <v>902</v>
      </c>
      <c r="F77" s="15" t="s">
        <v>903</v>
      </c>
      <c r="G77" s="15" t="s">
        <v>33</v>
      </c>
      <c r="H77" s="15" t="s">
        <v>904</v>
      </c>
      <c r="I77" s="15" t="s">
        <v>33</v>
      </c>
      <c r="J77" s="15" t="s">
        <v>33</v>
      </c>
      <c r="K77" s="15" t="s">
        <v>33</v>
      </c>
      <c r="L77" s="15" t="s">
        <v>33</v>
      </c>
      <c r="M77" s="15" t="s">
        <v>33</v>
      </c>
      <c r="N77" s="15" t="s">
        <v>33</v>
      </c>
      <c r="O77" s="15" t="s">
        <v>33</v>
      </c>
      <c r="P77" s="15" t="s">
        <v>33</v>
      </c>
      <c r="Q77" s="15" t="s">
        <v>33</v>
      </c>
      <c r="R77" s="15" t="s">
        <v>33</v>
      </c>
      <c r="S77" s="15" t="s">
        <v>33</v>
      </c>
      <c r="T77" s="15" t="s">
        <v>33</v>
      </c>
      <c r="U77" s="15">
        <f t="shared" si="32"/>
        <v>0.03333333333</v>
      </c>
      <c r="V77" s="15">
        <f t="shared" si="33"/>
        <v>3.983333333</v>
      </c>
      <c r="W77" s="20" t="s">
        <v>33</v>
      </c>
      <c r="X77" s="20" t="s">
        <v>33</v>
      </c>
      <c r="Y77" s="20" t="s">
        <v>33</v>
      </c>
      <c r="Z77" s="20" t="s">
        <v>33</v>
      </c>
      <c r="AA77" s="20" t="s">
        <v>33</v>
      </c>
      <c r="AB77" s="20" t="s">
        <v>33</v>
      </c>
      <c r="AC77" s="20" t="s">
        <v>33</v>
      </c>
      <c r="AD77" s="15">
        <f t="shared" si="34"/>
        <v>2.008333333</v>
      </c>
      <c r="AE77" s="15" t="s">
        <v>34</v>
      </c>
      <c r="AF77" s="15" t="s">
        <v>35</v>
      </c>
      <c r="AG77" s="15" t="s">
        <v>35</v>
      </c>
      <c r="AH77" s="15">
        <f t="shared" si="1"/>
        <v>10</v>
      </c>
      <c r="AI77" s="15"/>
      <c r="AJ77" s="15" t="s">
        <v>61</v>
      </c>
    </row>
    <row r="78" ht="15.75" customHeight="1">
      <c r="A78" s="15" t="s">
        <v>542</v>
      </c>
      <c r="B78" s="23" t="s">
        <v>905</v>
      </c>
      <c r="C78" s="15" t="s">
        <v>906</v>
      </c>
      <c r="D78" s="15" t="s">
        <v>907</v>
      </c>
      <c r="E78" s="15" t="s">
        <v>908</v>
      </c>
      <c r="F78" s="15" t="s">
        <v>909</v>
      </c>
      <c r="G78" s="15" t="s">
        <v>910</v>
      </c>
      <c r="H78" s="15" t="s">
        <v>911</v>
      </c>
      <c r="I78" s="15" t="s">
        <v>912</v>
      </c>
      <c r="J78" s="15" t="s">
        <v>913</v>
      </c>
      <c r="K78" s="15" t="s">
        <v>33</v>
      </c>
      <c r="L78" s="15" t="s">
        <v>914</v>
      </c>
      <c r="M78" s="15" t="s">
        <v>33</v>
      </c>
      <c r="N78" s="15" t="s">
        <v>33</v>
      </c>
      <c r="O78" s="15" t="s">
        <v>33</v>
      </c>
      <c r="P78" s="15" t="s">
        <v>33</v>
      </c>
      <c r="Q78" s="15" t="s">
        <v>33</v>
      </c>
      <c r="R78" s="15" t="s">
        <v>33</v>
      </c>
      <c r="S78" s="15" t="s">
        <v>33</v>
      </c>
      <c r="T78" s="15" t="s">
        <v>33</v>
      </c>
      <c r="U78" s="15">
        <f t="shared" si="32"/>
        <v>21.95</v>
      </c>
      <c r="V78" s="15">
        <f t="shared" si="33"/>
        <v>1.283333333</v>
      </c>
      <c r="W78" s="15">
        <f>TEXT(H78-G78,"[mm]")/60</f>
        <v>10.91666667</v>
      </c>
      <c r="X78" s="15">
        <f>TEXT(J78-I78,"[mm]")/60</f>
        <v>5.05</v>
      </c>
      <c r="Y78" s="20" t="s">
        <v>33</v>
      </c>
      <c r="Z78" s="20" t="s">
        <v>33</v>
      </c>
      <c r="AA78" s="20" t="s">
        <v>33</v>
      </c>
      <c r="AB78" s="20" t="s">
        <v>33</v>
      </c>
      <c r="AC78" s="20" t="s">
        <v>33</v>
      </c>
      <c r="AD78" s="15">
        <f t="shared" si="34"/>
        <v>9.8</v>
      </c>
      <c r="AE78" s="15" t="s">
        <v>34</v>
      </c>
      <c r="AF78" s="15" t="s">
        <v>35</v>
      </c>
      <c r="AG78" s="15" t="s">
        <v>35</v>
      </c>
      <c r="AH78" s="15">
        <f t="shared" si="1"/>
        <v>10</v>
      </c>
      <c r="AI78" s="15"/>
      <c r="AJ78" s="15" t="s">
        <v>61</v>
      </c>
    </row>
    <row r="79" ht="15.75" customHeight="1">
      <c r="A79" s="15" t="s">
        <v>542</v>
      </c>
      <c r="B79" s="23" t="s">
        <v>915</v>
      </c>
      <c r="C79" s="15" t="s">
        <v>916</v>
      </c>
      <c r="D79" s="15" t="s">
        <v>917</v>
      </c>
      <c r="E79" s="15" t="s">
        <v>33</v>
      </c>
      <c r="F79" s="15" t="s">
        <v>918</v>
      </c>
      <c r="G79" s="15" t="s">
        <v>33</v>
      </c>
      <c r="H79" s="15" t="s">
        <v>919</v>
      </c>
      <c r="I79" s="15" t="s">
        <v>33</v>
      </c>
      <c r="J79" s="15" t="s">
        <v>33</v>
      </c>
      <c r="K79" s="15" t="s">
        <v>33</v>
      </c>
      <c r="L79" s="15" t="s">
        <v>33</v>
      </c>
      <c r="M79" s="15" t="s">
        <v>33</v>
      </c>
      <c r="N79" s="15" t="s">
        <v>33</v>
      </c>
      <c r="O79" s="15" t="s">
        <v>33</v>
      </c>
      <c r="P79" s="15" t="s">
        <v>33</v>
      </c>
      <c r="Q79" s="15" t="s">
        <v>33</v>
      </c>
      <c r="R79" s="15" t="s">
        <v>33</v>
      </c>
      <c r="S79" s="15" t="s">
        <v>33</v>
      </c>
      <c r="T79" s="15" t="s">
        <v>33</v>
      </c>
      <c r="U79" s="15">
        <f t="shared" si="32"/>
        <v>20.56666667</v>
      </c>
      <c r="V79" s="20" t="s">
        <v>33</v>
      </c>
      <c r="W79" s="20" t="s">
        <v>33</v>
      </c>
      <c r="X79" s="20" t="s">
        <v>33</v>
      </c>
      <c r="Y79" s="20" t="s">
        <v>33</v>
      </c>
      <c r="Z79" s="20" t="s">
        <v>33</v>
      </c>
      <c r="AA79" s="20" t="s">
        <v>33</v>
      </c>
      <c r="AB79" s="20" t="s">
        <v>33</v>
      </c>
      <c r="AC79" s="20" t="s">
        <v>33</v>
      </c>
      <c r="AD79" s="15">
        <f t="shared" si="34"/>
        <v>20.56666667</v>
      </c>
      <c r="AE79" s="15" t="s">
        <v>34</v>
      </c>
      <c r="AF79" s="15" t="s">
        <v>35</v>
      </c>
      <c r="AG79" s="15" t="s">
        <v>35</v>
      </c>
      <c r="AH79" s="15">
        <f t="shared" si="1"/>
        <v>10</v>
      </c>
      <c r="AI79" s="15"/>
      <c r="AJ79" s="15" t="s">
        <v>61</v>
      </c>
    </row>
    <row r="80" ht="15.75" customHeight="1">
      <c r="A80" s="15" t="s">
        <v>542</v>
      </c>
      <c r="B80" s="23" t="s">
        <v>920</v>
      </c>
      <c r="C80" s="15" t="s">
        <v>921</v>
      </c>
      <c r="D80" s="15" t="s">
        <v>33</v>
      </c>
      <c r="E80" s="15" t="s">
        <v>33</v>
      </c>
      <c r="F80" s="15" t="s">
        <v>33</v>
      </c>
      <c r="G80" s="15" t="s">
        <v>33</v>
      </c>
      <c r="H80" s="15" t="s">
        <v>33</v>
      </c>
      <c r="I80" s="15" t="s">
        <v>33</v>
      </c>
      <c r="J80" s="15" t="s">
        <v>33</v>
      </c>
      <c r="K80" s="15" t="s">
        <v>33</v>
      </c>
      <c r="L80" s="15" t="s">
        <v>33</v>
      </c>
      <c r="M80" s="15" t="s">
        <v>33</v>
      </c>
      <c r="N80" s="15" t="s">
        <v>33</v>
      </c>
      <c r="O80" s="15" t="s">
        <v>33</v>
      </c>
      <c r="P80" s="15" t="s">
        <v>33</v>
      </c>
      <c r="Q80" s="15" t="s">
        <v>33</v>
      </c>
      <c r="R80" s="15" t="s">
        <v>33</v>
      </c>
      <c r="S80" s="15" t="s">
        <v>33</v>
      </c>
      <c r="T80" s="15" t="s">
        <v>33</v>
      </c>
      <c r="U80" s="20" t="s">
        <v>33</v>
      </c>
      <c r="V80" s="20" t="s">
        <v>33</v>
      </c>
      <c r="W80" s="20" t="s">
        <v>33</v>
      </c>
      <c r="X80" s="20" t="s">
        <v>33</v>
      </c>
      <c r="Y80" s="20" t="s">
        <v>33</v>
      </c>
      <c r="Z80" s="20" t="s">
        <v>33</v>
      </c>
      <c r="AA80" s="20" t="s">
        <v>33</v>
      </c>
      <c r="AB80" s="20" t="s">
        <v>33</v>
      </c>
      <c r="AC80" s="20" t="s">
        <v>33</v>
      </c>
      <c r="AD80" s="20" t="s">
        <v>33</v>
      </c>
      <c r="AE80" s="15" t="s">
        <v>35</v>
      </c>
      <c r="AF80" s="15" t="s">
        <v>35</v>
      </c>
      <c r="AG80" s="15" t="s">
        <v>35</v>
      </c>
      <c r="AH80" s="15">
        <f t="shared" si="1"/>
        <v>-15</v>
      </c>
      <c r="AI80" s="15"/>
      <c r="AJ80" s="15" t="s">
        <v>61</v>
      </c>
    </row>
    <row r="81" ht="15.75" customHeight="1">
      <c r="A81" s="15" t="s">
        <v>542</v>
      </c>
      <c r="B81" s="23" t="s">
        <v>922</v>
      </c>
      <c r="C81" s="15" t="s">
        <v>923</v>
      </c>
      <c r="D81" s="15" t="s">
        <v>924</v>
      </c>
      <c r="E81" s="15" t="s">
        <v>925</v>
      </c>
      <c r="F81" s="15" t="s">
        <v>33</v>
      </c>
      <c r="G81" s="15" t="s">
        <v>926</v>
      </c>
      <c r="H81" s="15" t="s">
        <v>33</v>
      </c>
      <c r="I81" s="15" t="s">
        <v>927</v>
      </c>
      <c r="J81" s="15" t="s">
        <v>33</v>
      </c>
      <c r="K81" s="15" t="s">
        <v>928</v>
      </c>
      <c r="L81" s="15" t="s">
        <v>33</v>
      </c>
      <c r="M81" s="15" t="s">
        <v>929</v>
      </c>
      <c r="N81" s="15" t="s">
        <v>33</v>
      </c>
      <c r="O81" s="15" t="s">
        <v>33</v>
      </c>
      <c r="P81" s="15" t="s">
        <v>33</v>
      </c>
      <c r="Q81" s="15" t="s">
        <v>33</v>
      </c>
      <c r="R81" s="15" t="s">
        <v>33</v>
      </c>
      <c r="S81" s="15" t="s">
        <v>33</v>
      </c>
      <c r="T81" s="15" t="s">
        <v>33</v>
      </c>
      <c r="U81" s="15">
        <f t="shared" ref="U81:U84" si="35">TEXT(D81-C81,"[mm]")/60</f>
        <v>0.03333333333</v>
      </c>
      <c r="V81" s="20" t="s">
        <v>33</v>
      </c>
      <c r="W81" s="20" t="s">
        <v>33</v>
      </c>
      <c r="X81" s="20" t="s">
        <v>33</v>
      </c>
      <c r="Y81" s="20" t="s">
        <v>33</v>
      </c>
      <c r="Z81" s="20" t="s">
        <v>33</v>
      </c>
      <c r="AA81" s="20" t="s">
        <v>33</v>
      </c>
      <c r="AB81" s="20" t="s">
        <v>33</v>
      </c>
      <c r="AC81" s="20" t="s">
        <v>33</v>
      </c>
      <c r="AD81" s="15">
        <f t="shared" ref="AD81:AD84" si="36">AVERAGE(U81:AC81)</f>
        <v>0.03333333333</v>
      </c>
      <c r="AE81" s="15" t="s">
        <v>34</v>
      </c>
      <c r="AF81" s="15" t="s">
        <v>35</v>
      </c>
      <c r="AG81" s="15" t="s">
        <v>35</v>
      </c>
      <c r="AH81" s="15">
        <f t="shared" si="1"/>
        <v>10</v>
      </c>
      <c r="AI81" s="15"/>
      <c r="AJ81" s="15" t="s">
        <v>61</v>
      </c>
    </row>
    <row r="82" ht="15.75" customHeight="1">
      <c r="A82" s="15" t="s">
        <v>542</v>
      </c>
      <c r="B82" s="23" t="s">
        <v>930</v>
      </c>
      <c r="C82" s="15" t="s">
        <v>931</v>
      </c>
      <c r="D82" s="15" t="s">
        <v>932</v>
      </c>
      <c r="E82" s="15" t="s">
        <v>933</v>
      </c>
      <c r="F82" s="15" t="s">
        <v>934</v>
      </c>
      <c r="G82" s="19">
        <v>46127.775</v>
      </c>
      <c r="H82" s="19">
        <v>46128.71388888889</v>
      </c>
      <c r="I82" s="15" t="s">
        <v>33</v>
      </c>
      <c r="J82" s="15" t="s">
        <v>935</v>
      </c>
      <c r="K82" s="15" t="s">
        <v>33</v>
      </c>
      <c r="L82" s="15" t="s">
        <v>936</v>
      </c>
      <c r="M82" s="15" t="s">
        <v>33</v>
      </c>
      <c r="N82" s="15" t="s">
        <v>33</v>
      </c>
      <c r="O82" s="15" t="s">
        <v>33</v>
      </c>
      <c r="P82" s="15" t="s">
        <v>33</v>
      </c>
      <c r="Q82" s="15" t="s">
        <v>33</v>
      </c>
      <c r="R82" s="15" t="s">
        <v>33</v>
      </c>
      <c r="S82" s="15" t="s">
        <v>33</v>
      </c>
      <c r="T82" s="15" t="s">
        <v>33</v>
      </c>
      <c r="U82" s="15">
        <f t="shared" si="35"/>
        <v>0.2333333333</v>
      </c>
      <c r="V82" s="15">
        <f t="shared" ref="V82:V83" si="37">TEXT(F82-E82,"[mm]")/60</f>
        <v>3.983333333</v>
      </c>
      <c r="W82" s="15">
        <f t="shared" ref="W82:W83" si="38">TEXT(H82-G82,"[mm]")/60</f>
        <v>22.53333333</v>
      </c>
      <c r="X82" s="20" t="s">
        <v>33</v>
      </c>
      <c r="Y82" s="20" t="s">
        <v>33</v>
      </c>
      <c r="Z82" s="20" t="s">
        <v>33</v>
      </c>
      <c r="AA82" s="20" t="s">
        <v>33</v>
      </c>
      <c r="AB82" s="20" t="s">
        <v>33</v>
      </c>
      <c r="AC82" s="20" t="s">
        <v>33</v>
      </c>
      <c r="AD82" s="15">
        <f t="shared" si="36"/>
        <v>8.916666667</v>
      </c>
      <c r="AE82" s="15" t="s">
        <v>34</v>
      </c>
      <c r="AF82" s="15" t="s">
        <v>35</v>
      </c>
      <c r="AG82" s="15" t="s">
        <v>35</v>
      </c>
      <c r="AH82" s="15">
        <f t="shared" si="1"/>
        <v>10</v>
      </c>
      <c r="AI82" s="15"/>
      <c r="AJ82" s="15" t="s">
        <v>61</v>
      </c>
    </row>
    <row r="83" ht="15.75" customHeight="1">
      <c r="A83" s="15" t="s">
        <v>542</v>
      </c>
      <c r="B83" s="23" t="s">
        <v>937</v>
      </c>
      <c r="C83" s="15" t="s">
        <v>938</v>
      </c>
      <c r="D83" s="15" t="s">
        <v>939</v>
      </c>
      <c r="E83" s="15" t="s">
        <v>940</v>
      </c>
      <c r="F83" s="15" t="s">
        <v>941</v>
      </c>
      <c r="G83" s="15" t="s">
        <v>942</v>
      </c>
      <c r="H83" s="15" t="s">
        <v>943</v>
      </c>
      <c r="I83" s="15" t="s">
        <v>33</v>
      </c>
      <c r="J83" s="15" t="s">
        <v>918</v>
      </c>
      <c r="K83" s="15" t="s">
        <v>33</v>
      </c>
      <c r="L83" s="15" t="s">
        <v>33</v>
      </c>
      <c r="M83" s="15" t="s">
        <v>33</v>
      </c>
      <c r="N83" s="15" t="s">
        <v>33</v>
      </c>
      <c r="O83" s="15" t="s">
        <v>33</v>
      </c>
      <c r="P83" s="15" t="s">
        <v>33</v>
      </c>
      <c r="Q83" s="15" t="s">
        <v>33</v>
      </c>
      <c r="R83" s="15" t="s">
        <v>33</v>
      </c>
      <c r="S83" s="15" t="s">
        <v>33</v>
      </c>
      <c r="T83" s="15" t="s">
        <v>33</v>
      </c>
      <c r="U83" s="15">
        <f t="shared" si="35"/>
        <v>6.716666667</v>
      </c>
      <c r="V83" s="15">
        <f t="shared" si="37"/>
        <v>4.266666667</v>
      </c>
      <c r="W83" s="15">
        <f t="shared" si="38"/>
        <v>41.7</v>
      </c>
      <c r="X83" s="20" t="s">
        <v>33</v>
      </c>
      <c r="Y83" s="20" t="s">
        <v>33</v>
      </c>
      <c r="Z83" s="20" t="s">
        <v>33</v>
      </c>
      <c r="AA83" s="20" t="s">
        <v>33</v>
      </c>
      <c r="AB83" s="20" t="s">
        <v>33</v>
      </c>
      <c r="AC83" s="20" t="s">
        <v>33</v>
      </c>
      <c r="AD83" s="15">
        <f t="shared" si="36"/>
        <v>17.56111111</v>
      </c>
      <c r="AE83" s="15" t="s">
        <v>34</v>
      </c>
      <c r="AF83" s="15" t="s">
        <v>35</v>
      </c>
      <c r="AG83" s="15" t="s">
        <v>35</v>
      </c>
      <c r="AH83" s="15">
        <f t="shared" si="1"/>
        <v>10</v>
      </c>
      <c r="AI83" s="15"/>
      <c r="AJ83" s="15" t="s">
        <v>61</v>
      </c>
    </row>
    <row r="84" ht="15.75" customHeight="1">
      <c r="A84" s="15" t="s">
        <v>542</v>
      </c>
      <c r="B84" s="23" t="s">
        <v>944</v>
      </c>
      <c r="C84" s="15" t="s">
        <v>945</v>
      </c>
      <c r="D84" s="15" t="s">
        <v>946</v>
      </c>
      <c r="E84" s="15" t="s">
        <v>33</v>
      </c>
      <c r="F84" s="15" t="s">
        <v>947</v>
      </c>
      <c r="G84" s="15" t="s">
        <v>33</v>
      </c>
      <c r="H84" s="15" t="s">
        <v>33</v>
      </c>
      <c r="I84" s="15" t="s">
        <v>33</v>
      </c>
      <c r="J84" s="15" t="s">
        <v>33</v>
      </c>
      <c r="K84" s="15" t="s">
        <v>33</v>
      </c>
      <c r="L84" s="15" t="s">
        <v>33</v>
      </c>
      <c r="M84" s="15" t="s">
        <v>33</v>
      </c>
      <c r="N84" s="15" t="s">
        <v>33</v>
      </c>
      <c r="O84" s="15" t="s">
        <v>33</v>
      </c>
      <c r="P84" s="15" t="s">
        <v>33</v>
      </c>
      <c r="Q84" s="15" t="s">
        <v>33</v>
      </c>
      <c r="R84" s="15" t="s">
        <v>33</v>
      </c>
      <c r="S84" s="15" t="s">
        <v>33</v>
      </c>
      <c r="T84" s="15" t="s">
        <v>33</v>
      </c>
      <c r="U84" s="15">
        <f t="shared" si="35"/>
        <v>10.61666667</v>
      </c>
      <c r="V84" s="20" t="s">
        <v>33</v>
      </c>
      <c r="W84" s="20" t="s">
        <v>33</v>
      </c>
      <c r="X84" s="20" t="s">
        <v>33</v>
      </c>
      <c r="Y84" s="20" t="s">
        <v>33</v>
      </c>
      <c r="Z84" s="20" t="s">
        <v>33</v>
      </c>
      <c r="AA84" s="20" t="s">
        <v>33</v>
      </c>
      <c r="AB84" s="20" t="s">
        <v>33</v>
      </c>
      <c r="AC84" s="20" t="s">
        <v>33</v>
      </c>
      <c r="AD84" s="15">
        <f t="shared" si="36"/>
        <v>10.61666667</v>
      </c>
      <c r="AE84" s="15" t="s">
        <v>34</v>
      </c>
      <c r="AF84" s="15" t="s">
        <v>35</v>
      </c>
      <c r="AG84" s="15" t="s">
        <v>35</v>
      </c>
      <c r="AH84" s="15">
        <f t="shared" si="1"/>
        <v>10</v>
      </c>
      <c r="AI84" s="15"/>
      <c r="AJ84" s="15" t="s">
        <v>61</v>
      </c>
    </row>
    <row r="85" ht="15.75" customHeight="1">
      <c r="A85" s="15" t="s">
        <v>542</v>
      </c>
      <c r="B85" s="23" t="s">
        <v>948</v>
      </c>
      <c r="C85" s="15" t="s">
        <v>949</v>
      </c>
      <c r="D85" s="15" t="s">
        <v>33</v>
      </c>
      <c r="E85" s="15" t="s">
        <v>33</v>
      </c>
      <c r="F85" s="15" t="s">
        <v>33</v>
      </c>
      <c r="G85" s="15" t="s">
        <v>33</v>
      </c>
      <c r="H85" s="15" t="s">
        <v>33</v>
      </c>
      <c r="I85" s="15" t="s">
        <v>33</v>
      </c>
      <c r="J85" s="15" t="s">
        <v>33</v>
      </c>
      <c r="K85" s="15" t="s">
        <v>33</v>
      </c>
      <c r="L85" s="15" t="s">
        <v>33</v>
      </c>
      <c r="M85" s="15" t="s">
        <v>33</v>
      </c>
      <c r="N85" s="15" t="s">
        <v>33</v>
      </c>
      <c r="O85" s="15" t="s">
        <v>33</v>
      </c>
      <c r="P85" s="15" t="s">
        <v>33</v>
      </c>
      <c r="Q85" s="15" t="s">
        <v>33</v>
      </c>
      <c r="R85" s="15" t="s">
        <v>33</v>
      </c>
      <c r="S85" s="15" t="s">
        <v>33</v>
      </c>
      <c r="T85" s="15" t="s">
        <v>33</v>
      </c>
      <c r="U85" s="20" t="s">
        <v>33</v>
      </c>
      <c r="V85" s="20" t="s">
        <v>33</v>
      </c>
      <c r="W85" s="20" t="s">
        <v>33</v>
      </c>
      <c r="X85" s="20" t="s">
        <v>33</v>
      </c>
      <c r="Y85" s="20" t="s">
        <v>33</v>
      </c>
      <c r="Z85" s="20" t="s">
        <v>33</v>
      </c>
      <c r="AA85" s="20" t="s">
        <v>33</v>
      </c>
      <c r="AB85" s="20" t="s">
        <v>33</v>
      </c>
      <c r="AC85" s="20" t="s">
        <v>33</v>
      </c>
      <c r="AD85" s="20" t="s">
        <v>33</v>
      </c>
      <c r="AE85" s="15" t="s">
        <v>35</v>
      </c>
      <c r="AF85" s="15" t="s">
        <v>35</v>
      </c>
      <c r="AG85" s="15" t="s">
        <v>35</v>
      </c>
      <c r="AH85" s="15">
        <f t="shared" si="1"/>
        <v>-15</v>
      </c>
      <c r="AI85" s="15"/>
      <c r="AJ85" s="15" t="s">
        <v>61</v>
      </c>
    </row>
    <row r="86" ht="15.75" customHeight="1">
      <c r="A86" s="15" t="s">
        <v>542</v>
      </c>
      <c r="B86" s="23" t="s">
        <v>950</v>
      </c>
      <c r="C86" s="15" t="s">
        <v>951</v>
      </c>
      <c r="D86" s="15" t="s">
        <v>33</v>
      </c>
      <c r="E86" s="15" t="s">
        <v>33</v>
      </c>
      <c r="F86" s="15" t="s">
        <v>33</v>
      </c>
      <c r="G86" s="15" t="s">
        <v>33</v>
      </c>
      <c r="H86" s="15" t="s">
        <v>33</v>
      </c>
      <c r="I86" s="15" t="s">
        <v>33</v>
      </c>
      <c r="J86" s="15" t="s">
        <v>33</v>
      </c>
      <c r="K86" s="15" t="s">
        <v>33</v>
      </c>
      <c r="L86" s="15" t="s">
        <v>33</v>
      </c>
      <c r="M86" s="15" t="s">
        <v>33</v>
      </c>
      <c r="N86" s="15" t="s">
        <v>33</v>
      </c>
      <c r="O86" s="15" t="s">
        <v>33</v>
      </c>
      <c r="P86" s="15" t="s">
        <v>33</v>
      </c>
      <c r="Q86" s="15" t="s">
        <v>33</v>
      </c>
      <c r="R86" s="15" t="s">
        <v>33</v>
      </c>
      <c r="S86" s="15" t="s">
        <v>33</v>
      </c>
      <c r="T86" s="15" t="s">
        <v>33</v>
      </c>
      <c r="U86" s="20" t="s">
        <v>33</v>
      </c>
      <c r="V86" s="20" t="s">
        <v>33</v>
      </c>
      <c r="W86" s="20" t="s">
        <v>33</v>
      </c>
      <c r="X86" s="20" t="s">
        <v>33</v>
      </c>
      <c r="Y86" s="20" t="s">
        <v>33</v>
      </c>
      <c r="Z86" s="20" t="s">
        <v>33</v>
      </c>
      <c r="AA86" s="20" t="s">
        <v>33</v>
      </c>
      <c r="AB86" s="20" t="s">
        <v>33</v>
      </c>
      <c r="AC86" s="20" t="s">
        <v>33</v>
      </c>
      <c r="AD86" s="20" t="s">
        <v>33</v>
      </c>
      <c r="AE86" s="15" t="s">
        <v>35</v>
      </c>
      <c r="AF86" s="15" t="s">
        <v>35</v>
      </c>
      <c r="AG86" s="15" t="s">
        <v>35</v>
      </c>
      <c r="AH86" s="15">
        <f t="shared" si="1"/>
        <v>-15</v>
      </c>
      <c r="AI86" s="15"/>
      <c r="AJ86" s="15" t="s">
        <v>61</v>
      </c>
    </row>
    <row r="87" ht="15.75" customHeight="1">
      <c r="A87" s="15" t="s">
        <v>542</v>
      </c>
      <c r="B87" s="23" t="s">
        <v>952</v>
      </c>
      <c r="C87" s="15" t="s">
        <v>953</v>
      </c>
      <c r="D87" s="15" t="s">
        <v>33</v>
      </c>
      <c r="E87" s="15" t="s">
        <v>33</v>
      </c>
      <c r="F87" s="15" t="s">
        <v>33</v>
      </c>
      <c r="G87" s="15" t="s">
        <v>33</v>
      </c>
      <c r="H87" s="15" t="s">
        <v>33</v>
      </c>
      <c r="I87" s="15" t="s">
        <v>33</v>
      </c>
      <c r="J87" s="15" t="s">
        <v>33</v>
      </c>
      <c r="K87" s="15" t="s">
        <v>33</v>
      </c>
      <c r="L87" s="15" t="s">
        <v>33</v>
      </c>
      <c r="M87" s="15" t="s">
        <v>33</v>
      </c>
      <c r="N87" s="15" t="s">
        <v>33</v>
      </c>
      <c r="O87" s="15" t="s">
        <v>33</v>
      </c>
      <c r="P87" s="15" t="s">
        <v>33</v>
      </c>
      <c r="Q87" s="15" t="s">
        <v>33</v>
      </c>
      <c r="R87" s="15" t="s">
        <v>33</v>
      </c>
      <c r="S87" s="15" t="s">
        <v>33</v>
      </c>
      <c r="T87" s="15" t="s">
        <v>33</v>
      </c>
      <c r="U87" s="20" t="s">
        <v>33</v>
      </c>
      <c r="V87" s="20" t="s">
        <v>33</v>
      </c>
      <c r="W87" s="20" t="s">
        <v>33</v>
      </c>
      <c r="X87" s="20" t="s">
        <v>33</v>
      </c>
      <c r="Y87" s="20" t="s">
        <v>33</v>
      </c>
      <c r="Z87" s="20" t="s">
        <v>33</v>
      </c>
      <c r="AA87" s="20" t="s">
        <v>33</v>
      </c>
      <c r="AB87" s="20" t="s">
        <v>33</v>
      </c>
      <c r="AC87" s="20" t="s">
        <v>33</v>
      </c>
      <c r="AD87" s="20" t="s">
        <v>33</v>
      </c>
      <c r="AE87" s="15" t="s">
        <v>35</v>
      </c>
      <c r="AF87" s="15" t="s">
        <v>35</v>
      </c>
      <c r="AG87" s="15" t="s">
        <v>35</v>
      </c>
      <c r="AH87" s="15">
        <f t="shared" si="1"/>
        <v>-15</v>
      </c>
      <c r="AI87" s="15"/>
      <c r="AJ87" s="15" t="s">
        <v>61</v>
      </c>
    </row>
    <row r="88" ht="15.75" customHeight="1">
      <c r="A88" s="15" t="s">
        <v>542</v>
      </c>
      <c r="B88" s="23" t="s">
        <v>954</v>
      </c>
      <c r="C88" s="15" t="s">
        <v>955</v>
      </c>
      <c r="D88" s="15" t="s">
        <v>956</v>
      </c>
      <c r="E88" s="15" t="s">
        <v>957</v>
      </c>
      <c r="F88" s="15" t="s">
        <v>33</v>
      </c>
      <c r="G88" s="15" t="s">
        <v>33</v>
      </c>
      <c r="H88" s="15" t="s">
        <v>33</v>
      </c>
      <c r="I88" s="15" t="s">
        <v>33</v>
      </c>
      <c r="J88" s="15" t="s">
        <v>33</v>
      </c>
      <c r="K88" s="15" t="s">
        <v>33</v>
      </c>
      <c r="L88" s="15" t="s">
        <v>33</v>
      </c>
      <c r="M88" s="15" t="s">
        <v>33</v>
      </c>
      <c r="N88" s="15" t="s">
        <v>33</v>
      </c>
      <c r="O88" s="15" t="s">
        <v>33</v>
      </c>
      <c r="P88" s="15" t="s">
        <v>33</v>
      </c>
      <c r="Q88" s="15" t="s">
        <v>33</v>
      </c>
      <c r="R88" s="15" t="s">
        <v>33</v>
      </c>
      <c r="S88" s="15" t="s">
        <v>33</v>
      </c>
      <c r="T88" s="15" t="s">
        <v>33</v>
      </c>
      <c r="U88" s="15">
        <f t="shared" ref="U88:U89" si="39">TEXT(D88-C88,"[mm]")/60</f>
        <v>1.05</v>
      </c>
      <c r="V88" s="20" t="s">
        <v>33</v>
      </c>
      <c r="W88" s="20" t="s">
        <v>33</v>
      </c>
      <c r="X88" s="20" t="s">
        <v>33</v>
      </c>
      <c r="Y88" s="20" t="s">
        <v>33</v>
      </c>
      <c r="Z88" s="20" t="s">
        <v>33</v>
      </c>
      <c r="AA88" s="20" t="s">
        <v>33</v>
      </c>
      <c r="AB88" s="20" t="s">
        <v>33</v>
      </c>
      <c r="AC88" s="20" t="s">
        <v>33</v>
      </c>
      <c r="AD88" s="15">
        <f t="shared" ref="AD88:AD89" si="40">AVERAGE(U88:AC88)</f>
        <v>1.05</v>
      </c>
      <c r="AE88" s="15" t="s">
        <v>34</v>
      </c>
      <c r="AF88" s="15" t="s">
        <v>35</v>
      </c>
      <c r="AG88" s="15" t="s">
        <v>35</v>
      </c>
      <c r="AH88" s="15">
        <f t="shared" si="1"/>
        <v>10</v>
      </c>
      <c r="AI88" s="15"/>
      <c r="AJ88" s="15" t="s">
        <v>61</v>
      </c>
    </row>
    <row r="89" ht="15.75" customHeight="1">
      <c r="A89" s="15" t="s">
        <v>542</v>
      </c>
      <c r="B89" s="23" t="s">
        <v>958</v>
      </c>
      <c r="C89" s="15" t="s">
        <v>959</v>
      </c>
      <c r="D89" s="15" t="s">
        <v>960</v>
      </c>
      <c r="E89" s="15" t="s">
        <v>961</v>
      </c>
      <c r="F89" s="15" t="s">
        <v>962</v>
      </c>
      <c r="G89" s="15" t="s">
        <v>963</v>
      </c>
      <c r="H89" s="15" t="s">
        <v>33</v>
      </c>
      <c r="I89" s="15" t="s">
        <v>33</v>
      </c>
      <c r="J89" s="15" t="s">
        <v>33</v>
      </c>
      <c r="K89" s="15" t="s">
        <v>33</v>
      </c>
      <c r="L89" s="15" t="s">
        <v>33</v>
      </c>
      <c r="M89" s="15" t="s">
        <v>33</v>
      </c>
      <c r="N89" s="15" t="s">
        <v>33</v>
      </c>
      <c r="O89" s="15" t="s">
        <v>33</v>
      </c>
      <c r="P89" s="15" t="s">
        <v>33</v>
      </c>
      <c r="Q89" s="15" t="s">
        <v>33</v>
      </c>
      <c r="R89" s="15" t="s">
        <v>33</v>
      </c>
      <c r="S89" s="15" t="s">
        <v>33</v>
      </c>
      <c r="T89" s="15" t="s">
        <v>33</v>
      </c>
      <c r="U89" s="15">
        <f t="shared" si="39"/>
        <v>0.05</v>
      </c>
      <c r="V89" s="15">
        <f>TEXT(F89-E89,"[mm]")/60</f>
        <v>0.06666666667</v>
      </c>
      <c r="W89" s="20" t="s">
        <v>33</v>
      </c>
      <c r="X89" s="20" t="s">
        <v>33</v>
      </c>
      <c r="Y89" s="20" t="s">
        <v>33</v>
      </c>
      <c r="Z89" s="20" t="s">
        <v>33</v>
      </c>
      <c r="AA89" s="20" t="s">
        <v>33</v>
      </c>
      <c r="AB89" s="20" t="s">
        <v>33</v>
      </c>
      <c r="AC89" s="20" t="s">
        <v>33</v>
      </c>
      <c r="AD89" s="15">
        <f t="shared" si="40"/>
        <v>0.05833333333</v>
      </c>
      <c r="AE89" s="15" t="s">
        <v>34</v>
      </c>
      <c r="AF89" s="15" t="s">
        <v>35</v>
      </c>
      <c r="AG89" s="15" t="s">
        <v>35</v>
      </c>
      <c r="AH89" s="15">
        <f t="shared" si="1"/>
        <v>10</v>
      </c>
      <c r="AI89" s="15"/>
      <c r="AJ89" s="15" t="s">
        <v>61</v>
      </c>
    </row>
    <row r="90" ht="15.75" customHeight="1">
      <c r="A90" s="15" t="s">
        <v>542</v>
      </c>
      <c r="B90" s="23" t="s">
        <v>964</v>
      </c>
      <c r="C90" s="15" t="s">
        <v>965</v>
      </c>
      <c r="D90" s="15" t="s">
        <v>33</v>
      </c>
      <c r="E90" s="15" t="s">
        <v>33</v>
      </c>
      <c r="F90" s="15" t="s">
        <v>33</v>
      </c>
      <c r="G90" s="15" t="s">
        <v>33</v>
      </c>
      <c r="H90" s="15" t="s">
        <v>33</v>
      </c>
      <c r="I90" s="15" t="s">
        <v>33</v>
      </c>
      <c r="J90" s="15" t="s">
        <v>33</v>
      </c>
      <c r="K90" s="15" t="s">
        <v>33</v>
      </c>
      <c r="L90" s="15" t="s">
        <v>33</v>
      </c>
      <c r="M90" s="15" t="s">
        <v>33</v>
      </c>
      <c r="N90" s="15" t="s">
        <v>33</v>
      </c>
      <c r="O90" s="15" t="s">
        <v>33</v>
      </c>
      <c r="P90" s="15" t="s">
        <v>33</v>
      </c>
      <c r="Q90" s="15" t="s">
        <v>33</v>
      </c>
      <c r="R90" s="15" t="s">
        <v>33</v>
      </c>
      <c r="S90" s="15" t="s">
        <v>33</v>
      </c>
      <c r="T90" s="15" t="s">
        <v>33</v>
      </c>
      <c r="U90" s="20" t="s">
        <v>33</v>
      </c>
      <c r="V90" s="20" t="s">
        <v>33</v>
      </c>
      <c r="W90" s="20" t="s">
        <v>33</v>
      </c>
      <c r="X90" s="20" t="s">
        <v>33</v>
      </c>
      <c r="Y90" s="20" t="s">
        <v>33</v>
      </c>
      <c r="Z90" s="20" t="s">
        <v>33</v>
      </c>
      <c r="AA90" s="20" t="s">
        <v>33</v>
      </c>
      <c r="AB90" s="20" t="s">
        <v>33</v>
      </c>
      <c r="AC90" s="20" t="s">
        <v>33</v>
      </c>
      <c r="AD90" s="20" t="s">
        <v>33</v>
      </c>
      <c r="AE90" s="15" t="s">
        <v>35</v>
      </c>
      <c r="AF90" s="15" t="s">
        <v>35</v>
      </c>
      <c r="AG90" s="15" t="s">
        <v>35</v>
      </c>
      <c r="AH90" s="15">
        <f t="shared" si="1"/>
        <v>-15</v>
      </c>
      <c r="AI90" s="15"/>
      <c r="AJ90" s="15" t="s">
        <v>61</v>
      </c>
    </row>
    <row r="91" ht="15.75" customHeight="1">
      <c r="A91" s="15" t="s">
        <v>542</v>
      </c>
      <c r="B91" s="23" t="s">
        <v>966</v>
      </c>
      <c r="C91" s="15" t="s">
        <v>967</v>
      </c>
      <c r="D91" s="15" t="s">
        <v>33</v>
      </c>
      <c r="E91" s="15" t="s">
        <v>33</v>
      </c>
      <c r="F91" s="15" t="s">
        <v>33</v>
      </c>
      <c r="G91" s="15" t="s">
        <v>33</v>
      </c>
      <c r="H91" s="15" t="s">
        <v>33</v>
      </c>
      <c r="I91" s="15" t="s">
        <v>33</v>
      </c>
      <c r="J91" s="15" t="s">
        <v>33</v>
      </c>
      <c r="K91" s="15" t="s">
        <v>33</v>
      </c>
      <c r="L91" s="15" t="s">
        <v>33</v>
      </c>
      <c r="M91" s="15" t="s">
        <v>33</v>
      </c>
      <c r="N91" s="15" t="s">
        <v>33</v>
      </c>
      <c r="O91" s="15" t="s">
        <v>33</v>
      </c>
      <c r="P91" s="15" t="s">
        <v>33</v>
      </c>
      <c r="Q91" s="15" t="s">
        <v>33</v>
      </c>
      <c r="R91" s="15" t="s">
        <v>33</v>
      </c>
      <c r="S91" s="15" t="s">
        <v>33</v>
      </c>
      <c r="T91" s="15" t="s">
        <v>33</v>
      </c>
      <c r="U91" s="20" t="s">
        <v>33</v>
      </c>
      <c r="V91" s="20" t="s">
        <v>33</v>
      </c>
      <c r="W91" s="20" t="s">
        <v>33</v>
      </c>
      <c r="X91" s="20" t="s">
        <v>33</v>
      </c>
      <c r="Y91" s="20" t="s">
        <v>33</v>
      </c>
      <c r="Z91" s="20" t="s">
        <v>33</v>
      </c>
      <c r="AA91" s="20" t="s">
        <v>33</v>
      </c>
      <c r="AB91" s="20" t="s">
        <v>33</v>
      </c>
      <c r="AC91" s="20" t="s">
        <v>33</v>
      </c>
      <c r="AD91" s="20" t="s">
        <v>33</v>
      </c>
      <c r="AE91" s="15" t="s">
        <v>35</v>
      </c>
      <c r="AF91" s="15" t="s">
        <v>35</v>
      </c>
      <c r="AG91" s="15" t="s">
        <v>35</v>
      </c>
      <c r="AH91" s="15">
        <f t="shared" si="1"/>
        <v>-15</v>
      </c>
      <c r="AI91" s="15"/>
      <c r="AJ91" s="15" t="s">
        <v>61</v>
      </c>
    </row>
    <row r="92" ht="15.75" customHeight="1">
      <c r="A92" s="15" t="s">
        <v>542</v>
      </c>
      <c r="B92" s="23" t="s">
        <v>968</v>
      </c>
      <c r="C92" s="15" t="s">
        <v>969</v>
      </c>
      <c r="D92" s="15" t="s">
        <v>970</v>
      </c>
      <c r="E92" s="15" t="s">
        <v>971</v>
      </c>
      <c r="F92" s="15" t="s">
        <v>972</v>
      </c>
      <c r="G92" s="15" t="s">
        <v>973</v>
      </c>
      <c r="H92" s="15" t="s">
        <v>974</v>
      </c>
      <c r="I92" s="15" t="s">
        <v>975</v>
      </c>
      <c r="J92" s="15" t="s">
        <v>976</v>
      </c>
      <c r="K92" s="15" t="s">
        <v>977</v>
      </c>
      <c r="L92" s="15" t="s">
        <v>978</v>
      </c>
      <c r="M92" s="15" t="s">
        <v>979</v>
      </c>
      <c r="N92" s="15" t="s">
        <v>980</v>
      </c>
      <c r="O92" s="15" t="s">
        <v>981</v>
      </c>
      <c r="P92" s="15" t="s">
        <v>982</v>
      </c>
      <c r="Q92" s="15" t="s">
        <v>983</v>
      </c>
      <c r="R92" s="15" t="s">
        <v>984</v>
      </c>
      <c r="S92" s="15" t="s">
        <v>985</v>
      </c>
      <c r="T92" s="15" t="s">
        <v>986</v>
      </c>
      <c r="U92" s="15">
        <f t="shared" ref="U92:U93" si="41">TEXT(D92-C92,"[mm]")/60</f>
        <v>118.55</v>
      </c>
      <c r="V92" s="15">
        <f>TEXT(F92-E92,"[mm]")/60</f>
        <v>118.5</v>
      </c>
      <c r="W92" s="15">
        <f>TEXT(H92-G92,"[mm]")/60</f>
        <v>22.23333333</v>
      </c>
      <c r="X92" s="15">
        <f>TEXT(J92-I92,"[mm]")/60</f>
        <v>23.78333333</v>
      </c>
      <c r="Y92" s="15">
        <f>TEXT(L92-K92,"[mm]")/60</f>
        <v>22.15</v>
      </c>
      <c r="Z92" s="15">
        <f>TEXT(N92-M92,"[mm]")/60</f>
        <v>0.85</v>
      </c>
      <c r="AA92" s="15">
        <f>TEXT(P92-O92,"[mm]")/60</f>
        <v>0.6833333333</v>
      </c>
      <c r="AB92" s="15">
        <f>TEXT(R92-Q92,"[mm]")/60</f>
        <v>18.73333333</v>
      </c>
      <c r="AC92" s="15">
        <f>TEXT(T92-S92,"[mm]")/60</f>
        <v>0.08333333333</v>
      </c>
      <c r="AD92" s="15">
        <f t="shared" ref="AD92:AD93" si="42">AVERAGE(U92:AC92)</f>
        <v>36.17407407</v>
      </c>
      <c r="AE92" s="15" t="s">
        <v>35</v>
      </c>
      <c r="AF92" s="15" t="s">
        <v>35</v>
      </c>
      <c r="AG92" s="15" t="s">
        <v>34</v>
      </c>
      <c r="AH92" s="15">
        <f t="shared" si="1"/>
        <v>-10</v>
      </c>
      <c r="AI92" s="15"/>
      <c r="AJ92" s="15" t="s">
        <v>61</v>
      </c>
    </row>
    <row r="93" ht="15.75" customHeight="1">
      <c r="A93" s="15" t="s">
        <v>542</v>
      </c>
      <c r="B93" s="23" t="s">
        <v>987</v>
      </c>
      <c r="C93" s="15" t="s">
        <v>988</v>
      </c>
      <c r="D93" s="15" t="s">
        <v>989</v>
      </c>
      <c r="E93" s="15" t="s">
        <v>33</v>
      </c>
      <c r="F93" s="15" t="s">
        <v>33</v>
      </c>
      <c r="G93" s="15" t="s">
        <v>33</v>
      </c>
      <c r="H93" s="15" t="s">
        <v>33</v>
      </c>
      <c r="I93" s="15" t="s">
        <v>33</v>
      </c>
      <c r="J93" s="15" t="s">
        <v>33</v>
      </c>
      <c r="K93" s="15" t="s">
        <v>33</v>
      </c>
      <c r="L93" s="15" t="s">
        <v>33</v>
      </c>
      <c r="M93" s="15" t="s">
        <v>33</v>
      </c>
      <c r="N93" s="15" t="s">
        <v>33</v>
      </c>
      <c r="O93" s="15" t="s">
        <v>33</v>
      </c>
      <c r="P93" s="15" t="s">
        <v>33</v>
      </c>
      <c r="Q93" s="15" t="s">
        <v>33</v>
      </c>
      <c r="R93" s="15" t="s">
        <v>33</v>
      </c>
      <c r="S93" s="15" t="s">
        <v>33</v>
      </c>
      <c r="T93" s="15" t="s">
        <v>33</v>
      </c>
      <c r="U93" s="15">
        <f t="shared" si="41"/>
        <v>0.08333333333</v>
      </c>
      <c r="V93" s="20" t="s">
        <v>33</v>
      </c>
      <c r="W93" s="20" t="s">
        <v>33</v>
      </c>
      <c r="X93" s="20" t="s">
        <v>33</v>
      </c>
      <c r="Y93" s="20" t="s">
        <v>33</v>
      </c>
      <c r="Z93" s="20" t="s">
        <v>33</v>
      </c>
      <c r="AA93" s="20" t="s">
        <v>33</v>
      </c>
      <c r="AB93" s="20" t="s">
        <v>33</v>
      </c>
      <c r="AC93" s="20" t="s">
        <v>33</v>
      </c>
      <c r="AD93" s="15">
        <f t="shared" si="42"/>
        <v>0.08333333333</v>
      </c>
      <c r="AE93" s="15" t="s">
        <v>34</v>
      </c>
      <c r="AF93" s="15" t="s">
        <v>35</v>
      </c>
      <c r="AG93" s="15" t="s">
        <v>35</v>
      </c>
      <c r="AH93" s="15">
        <f t="shared" si="1"/>
        <v>10</v>
      </c>
      <c r="AI93" s="15"/>
      <c r="AJ93" s="15" t="s">
        <v>61</v>
      </c>
    </row>
    <row r="94" ht="15.75" customHeight="1">
      <c r="A94" s="15" t="s">
        <v>542</v>
      </c>
      <c r="B94" s="23" t="s">
        <v>990</v>
      </c>
      <c r="C94" s="15" t="s">
        <v>991</v>
      </c>
      <c r="D94" s="15" t="s">
        <v>33</v>
      </c>
      <c r="E94" s="15" t="s">
        <v>33</v>
      </c>
      <c r="F94" s="15" t="s">
        <v>33</v>
      </c>
      <c r="G94" s="15" t="s">
        <v>33</v>
      </c>
      <c r="H94" s="15" t="s">
        <v>33</v>
      </c>
      <c r="I94" s="15" t="s">
        <v>33</v>
      </c>
      <c r="J94" s="15" t="s">
        <v>33</v>
      </c>
      <c r="K94" s="15" t="s">
        <v>33</v>
      </c>
      <c r="L94" s="15" t="s">
        <v>33</v>
      </c>
      <c r="M94" s="15" t="s">
        <v>33</v>
      </c>
      <c r="N94" s="15" t="s">
        <v>33</v>
      </c>
      <c r="O94" s="15" t="s">
        <v>33</v>
      </c>
      <c r="P94" s="15" t="s">
        <v>33</v>
      </c>
      <c r="Q94" s="15" t="s">
        <v>33</v>
      </c>
      <c r="R94" s="15" t="s">
        <v>33</v>
      </c>
      <c r="S94" s="15" t="s">
        <v>33</v>
      </c>
      <c r="T94" s="15" t="s">
        <v>33</v>
      </c>
      <c r="U94" s="20" t="s">
        <v>33</v>
      </c>
      <c r="V94" s="20" t="s">
        <v>33</v>
      </c>
      <c r="W94" s="20" t="s">
        <v>33</v>
      </c>
      <c r="X94" s="20" t="s">
        <v>33</v>
      </c>
      <c r="Y94" s="20" t="s">
        <v>33</v>
      </c>
      <c r="Z94" s="20" t="s">
        <v>33</v>
      </c>
      <c r="AA94" s="20" t="s">
        <v>33</v>
      </c>
      <c r="AB94" s="20" t="s">
        <v>33</v>
      </c>
      <c r="AC94" s="20" t="s">
        <v>33</v>
      </c>
      <c r="AD94" s="20" t="s">
        <v>33</v>
      </c>
      <c r="AE94" s="15" t="s">
        <v>35</v>
      </c>
      <c r="AF94" s="15" t="s">
        <v>35</v>
      </c>
      <c r="AG94" s="15" t="s">
        <v>35</v>
      </c>
      <c r="AH94" s="15">
        <f t="shared" si="1"/>
        <v>-15</v>
      </c>
      <c r="AI94" s="15"/>
      <c r="AJ94" s="15" t="s">
        <v>61</v>
      </c>
    </row>
    <row r="95" ht="15.75" customHeight="1">
      <c r="A95" s="15" t="s">
        <v>542</v>
      </c>
      <c r="B95" s="23" t="s">
        <v>992</v>
      </c>
      <c r="C95" s="15" t="s">
        <v>993</v>
      </c>
      <c r="D95" s="15" t="s">
        <v>994</v>
      </c>
      <c r="E95" s="15" t="s">
        <v>995</v>
      </c>
      <c r="F95" s="15" t="s">
        <v>996</v>
      </c>
      <c r="G95" s="15" t="s">
        <v>997</v>
      </c>
      <c r="H95" s="15" t="s">
        <v>998</v>
      </c>
      <c r="I95" s="15" t="s">
        <v>999</v>
      </c>
      <c r="J95" s="15" t="s">
        <v>1000</v>
      </c>
      <c r="K95" s="15" t="s">
        <v>33</v>
      </c>
      <c r="L95" s="15" t="s">
        <v>1001</v>
      </c>
      <c r="M95" s="15" t="s">
        <v>33</v>
      </c>
      <c r="N95" s="15" t="s">
        <v>33</v>
      </c>
      <c r="O95" s="15" t="s">
        <v>33</v>
      </c>
      <c r="P95" s="15" t="s">
        <v>33</v>
      </c>
      <c r="Q95" s="15" t="s">
        <v>33</v>
      </c>
      <c r="R95" s="15" t="s">
        <v>33</v>
      </c>
      <c r="S95" s="15" t="s">
        <v>33</v>
      </c>
      <c r="T95" s="15" t="s">
        <v>33</v>
      </c>
      <c r="U95" s="15">
        <f>TEXT(D95-C95,"[mm]")/60</f>
        <v>0.1</v>
      </c>
      <c r="V95" s="15">
        <f>TEXT(F95-E95,"[mm]")/60</f>
        <v>0.15</v>
      </c>
      <c r="W95" s="15">
        <f>TEXT(H95-G95,"[mm]")/60</f>
        <v>0.4666666667</v>
      </c>
      <c r="X95" s="15">
        <f>TEXT(J95-I95,"[mm]")/60</f>
        <v>18.75</v>
      </c>
      <c r="Y95" s="20" t="s">
        <v>33</v>
      </c>
      <c r="Z95" s="20" t="s">
        <v>33</v>
      </c>
      <c r="AA95" s="20" t="s">
        <v>33</v>
      </c>
      <c r="AB95" s="20" t="s">
        <v>33</v>
      </c>
      <c r="AC95" s="20" t="s">
        <v>33</v>
      </c>
      <c r="AD95" s="15">
        <f>AVERAGE(U95:AC95)</f>
        <v>4.866666667</v>
      </c>
      <c r="AE95" s="15" t="s">
        <v>34</v>
      </c>
      <c r="AF95" s="15" t="s">
        <v>35</v>
      </c>
      <c r="AG95" s="15" t="s">
        <v>35</v>
      </c>
      <c r="AH95" s="15">
        <f t="shared" si="1"/>
        <v>10</v>
      </c>
      <c r="AI95" s="15"/>
      <c r="AJ95" s="15" t="s">
        <v>61</v>
      </c>
    </row>
    <row r="96" ht="15.75" customHeight="1">
      <c r="A96" s="15" t="s">
        <v>542</v>
      </c>
      <c r="B96" s="23" t="s">
        <v>1002</v>
      </c>
      <c r="C96" s="15" t="s">
        <v>1003</v>
      </c>
      <c r="D96" s="15" t="s">
        <v>33</v>
      </c>
      <c r="E96" s="15" t="s">
        <v>33</v>
      </c>
      <c r="F96" s="15" t="s">
        <v>33</v>
      </c>
      <c r="G96" s="15" t="s">
        <v>33</v>
      </c>
      <c r="H96" s="15" t="s">
        <v>33</v>
      </c>
      <c r="I96" s="15" t="s">
        <v>33</v>
      </c>
      <c r="J96" s="15" t="s">
        <v>33</v>
      </c>
      <c r="K96" s="15" t="s">
        <v>33</v>
      </c>
      <c r="L96" s="15" t="s">
        <v>33</v>
      </c>
      <c r="M96" s="15" t="s">
        <v>33</v>
      </c>
      <c r="N96" s="15" t="s">
        <v>33</v>
      </c>
      <c r="O96" s="15" t="s">
        <v>33</v>
      </c>
      <c r="P96" s="15" t="s">
        <v>33</v>
      </c>
      <c r="Q96" s="15" t="s">
        <v>33</v>
      </c>
      <c r="R96" s="15" t="s">
        <v>33</v>
      </c>
      <c r="S96" s="15" t="s">
        <v>33</v>
      </c>
      <c r="T96" s="15" t="s">
        <v>33</v>
      </c>
      <c r="U96" s="20" t="s">
        <v>33</v>
      </c>
      <c r="V96" s="20" t="s">
        <v>33</v>
      </c>
      <c r="W96" s="20" t="s">
        <v>33</v>
      </c>
      <c r="X96" s="20" t="s">
        <v>33</v>
      </c>
      <c r="Y96" s="20" t="s">
        <v>33</v>
      </c>
      <c r="Z96" s="20" t="s">
        <v>33</v>
      </c>
      <c r="AA96" s="20" t="s">
        <v>33</v>
      </c>
      <c r="AB96" s="20" t="s">
        <v>33</v>
      </c>
      <c r="AC96" s="20" t="s">
        <v>33</v>
      </c>
      <c r="AD96" s="20" t="s">
        <v>33</v>
      </c>
      <c r="AE96" s="15" t="s">
        <v>35</v>
      </c>
      <c r="AF96" s="15" t="s">
        <v>35</v>
      </c>
      <c r="AG96" s="15" t="s">
        <v>35</v>
      </c>
      <c r="AH96" s="15">
        <f t="shared" si="1"/>
        <v>-15</v>
      </c>
      <c r="AI96" s="15"/>
      <c r="AJ96" s="15" t="s">
        <v>61</v>
      </c>
    </row>
    <row r="97" ht="15.75" customHeight="1">
      <c r="A97" s="15" t="s">
        <v>542</v>
      </c>
      <c r="B97" s="23" t="s">
        <v>1004</v>
      </c>
      <c r="C97" s="15" t="s">
        <v>1005</v>
      </c>
      <c r="D97" s="15" t="s">
        <v>1006</v>
      </c>
      <c r="E97" s="15" t="s">
        <v>33</v>
      </c>
      <c r="F97" s="15" t="s">
        <v>33</v>
      </c>
      <c r="G97" s="15" t="s">
        <v>33</v>
      </c>
      <c r="H97" s="15" t="s">
        <v>33</v>
      </c>
      <c r="I97" s="15" t="s">
        <v>33</v>
      </c>
      <c r="J97" s="15" t="s">
        <v>33</v>
      </c>
      <c r="K97" s="15" t="s">
        <v>33</v>
      </c>
      <c r="L97" s="15" t="s">
        <v>33</v>
      </c>
      <c r="M97" s="15" t="s">
        <v>33</v>
      </c>
      <c r="N97" s="15" t="s">
        <v>33</v>
      </c>
      <c r="O97" s="15" t="s">
        <v>33</v>
      </c>
      <c r="P97" s="15" t="s">
        <v>33</v>
      </c>
      <c r="Q97" s="15" t="s">
        <v>33</v>
      </c>
      <c r="R97" s="15" t="s">
        <v>33</v>
      </c>
      <c r="S97" s="15" t="s">
        <v>33</v>
      </c>
      <c r="T97" s="15" t="s">
        <v>33</v>
      </c>
      <c r="U97" s="15">
        <f t="shared" ref="U97:U98" si="43">TEXT(D97-C97,"[mm]")/60</f>
        <v>0.15</v>
      </c>
      <c r="V97" s="20" t="s">
        <v>33</v>
      </c>
      <c r="W97" s="20" t="s">
        <v>33</v>
      </c>
      <c r="X97" s="20" t="s">
        <v>33</v>
      </c>
      <c r="Y97" s="20" t="s">
        <v>33</v>
      </c>
      <c r="Z97" s="20" t="s">
        <v>33</v>
      </c>
      <c r="AA97" s="20" t="s">
        <v>33</v>
      </c>
      <c r="AB97" s="20" t="s">
        <v>33</v>
      </c>
      <c r="AC97" s="20" t="s">
        <v>33</v>
      </c>
      <c r="AD97" s="15">
        <f t="shared" ref="AD97:AD98" si="44">AVERAGE(U97:AC97)</f>
        <v>0.15</v>
      </c>
      <c r="AE97" s="15" t="s">
        <v>34</v>
      </c>
      <c r="AF97" s="15" t="s">
        <v>35</v>
      </c>
      <c r="AG97" s="15" t="s">
        <v>35</v>
      </c>
      <c r="AH97" s="15">
        <f t="shared" si="1"/>
        <v>10</v>
      </c>
      <c r="AI97" s="15"/>
      <c r="AJ97" s="15" t="s">
        <v>61</v>
      </c>
    </row>
    <row r="98" ht="15.75" customHeight="1">
      <c r="A98" s="15" t="s">
        <v>542</v>
      </c>
      <c r="B98" s="23" t="s">
        <v>1007</v>
      </c>
      <c r="C98" s="15" t="s">
        <v>1008</v>
      </c>
      <c r="D98" s="15" t="s">
        <v>1009</v>
      </c>
      <c r="E98" s="19">
        <v>46122.63263888889</v>
      </c>
      <c r="F98" s="19">
        <v>46127.73472222222</v>
      </c>
      <c r="G98" s="20" t="s">
        <v>1010</v>
      </c>
      <c r="H98" s="19">
        <v>46127.77291666667</v>
      </c>
      <c r="I98" s="15" t="s">
        <v>33</v>
      </c>
      <c r="J98" s="15" t="s">
        <v>1011</v>
      </c>
      <c r="K98" s="15" t="s">
        <v>33</v>
      </c>
      <c r="L98" s="15" t="s">
        <v>1012</v>
      </c>
      <c r="M98" s="15" t="s">
        <v>33</v>
      </c>
      <c r="N98" s="15" t="s">
        <v>1013</v>
      </c>
      <c r="O98" s="15" t="s">
        <v>33</v>
      </c>
      <c r="P98" s="15" t="s">
        <v>1014</v>
      </c>
      <c r="Q98" s="15" t="s">
        <v>33</v>
      </c>
      <c r="R98" s="15" t="s">
        <v>33</v>
      </c>
      <c r="S98" s="15" t="s">
        <v>33</v>
      </c>
      <c r="T98" s="15" t="s">
        <v>33</v>
      </c>
      <c r="U98" s="15">
        <f t="shared" si="43"/>
        <v>0.65</v>
      </c>
      <c r="V98" s="15">
        <f>TEXT(F98-E98,"[mm]")/60</f>
        <v>122.45</v>
      </c>
      <c r="W98" s="20" t="s">
        <v>33</v>
      </c>
      <c r="X98" s="20" t="s">
        <v>33</v>
      </c>
      <c r="Y98" s="20" t="s">
        <v>33</v>
      </c>
      <c r="Z98" s="20" t="s">
        <v>33</v>
      </c>
      <c r="AA98" s="20" t="s">
        <v>33</v>
      </c>
      <c r="AB98" s="20" t="s">
        <v>33</v>
      </c>
      <c r="AC98" s="20" t="s">
        <v>33</v>
      </c>
      <c r="AD98" s="15">
        <f t="shared" si="44"/>
        <v>61.55</v>
      </c>
      <c r="AE98" s="15" t="s">
        <v>34</v>
      </c>
      <c r="AF98" s="15" t="s">
        <v>35</v>
      </c>
      <c r="AG98" s="15" t="s">
        <v>35</v>
      </c>
      <c r="AH98" s="15">
        <f t="shared" si="1"/>
        <v>10</v>
      </c>
      <c r="AI98" s="15"/>
      <c r="AJ98" s="15" t="s">
        <v>61</v>
      </c>
    </row>
    <row r="99" ht="15.75" customHeight="1">
      <c r="A99" s="15" t="s">
        <v>542</v>
      </c>
      <c r="B99" s="23" t="s">
        <v>1015</v>
      </c>
      <c r="C99" s="15" t="s">
        <v>1016</v>
      </c>
      <c r="D99" s="15" t="s">
        <v>33</v>
      </c>
      <c r="E99" s="15" t="s">
        <v>33</v>
      </c>
      <c r="F99" s="15" t="s">
        <v>33</v>
      </c>
      <c r="G99" s="15" t="s">
        <v>33</v>
      </c>
      <c r="H99" s="15" t="s">
        <v>33</v>
      </c>
      <c r="I99" s="15" t="s">
        <v>33</v>
      </c>
      <c r="J99" s="15" t="s">
        <v>33</v>
      </c>
      <c r="K99" s="15" t="s">
        <v>33</v>
      </c>
      <c r="L99" s="15" t="s">
        <v>33</v>
      </c>
      <c r="M99" s="15" t="s">
        <v>33</v>
      </c>
      <c r="N99" s="15" t="s">
        <v>33</v>
      </c>
      <c r="O99" s="15" t="s">
        <v>33</v>
      </c>
      <c r="P99" s="15" t="s">
        <v>33</v>
      </c>
      <c r="Q99" s="15" t="s">
        <v>33</v>
      </c>
      <c r="R99" s="15" t="s">
        <v>33</v>
      </c>
      <c r="S99" s="15" t="s">
        <v>33</v>
      </c>
      <c r="T99" s="15" t="s">
        <v>33</v>
      </c>
      <c r="U99" s="20" t="s">
        <v>33</v>
      </c>
      <c r="V99" s="20" t="s">
        <v>33</v>
      </c>
      <c r="W99" s="20" t="s">
        <v>33</v>
      </c>
      <c r="X99" s="20" t="s">
        <v>33</v>
      </c>
      <c r="Y99" s="20" t="s">
        <v>33</v>
      </c>
      <c r="Z99" s="20" t="s">
        <v>33</v>
      </c>
      <c r="AA99" s="20" t="s">
        <v>33</v>
      </c>
      <c r="AB99" s="20" t="s">
        <v>33</v>
      </c>
      <c r="AC99" s="20" t="s">
        <v>33</v>
      </c>
      <c r="AD99" s="20" t="s">
        <v>33</v>
      </c>
      <c r="AE99" s="15" t="s">
        <v>35</v>
      </c>
      <c r="AF99" s="15" t="s">
        <v>35</v>
      </c>
      <c r="AG99" s="15" t="s">
        <v>35</v>
      </c>
      <c r="AH99" s="15">
        <f t="shared" si="1"/>
        <v>-15</v>
      </c>
      <c r="AI99" s="15"/>
      <c r="AJ99" s="15" t="s">
        <v>61</v>
      </c>
    </row>
    <row r="100" ht="15.75" customHeight="1">
      <c r="A100" s="15" t="s">
        <v>542</v>
      </c>
      <c r="B100" s="23" t="s">
        <v>1017</v>
      </c>
      <c r="C100" s="15" t="s">
        <v>1018</v>
      </c>
      <c r="D100" s="15" t="s">
        <v>1019</v>
      </c>
      <c r="E100" s="15" t="s">
        <v>33</v>
      </c>
      <c r="F100" s="15" t="s">
        <v>33</v>
      </c>
      <c r="G100" s="15" t="s">
        <v>33</v>
      </c>
      <c r="H100" s="15" t="s">
        <v>33</v>
      </c>
      <c r="I100" s="15" t="s">
        <v>33</v>
      </c>
      <c r="J100" s="15" t="s">
        <v>33</v>
      </c>
      <c r="K100" s="15" t="s">
        <v>33</v>
      </c>
      <c r="L100" s="15" t="s">
        <v>33</v>
      </c>
      <c r="M100" s="15" t="s">
        <v>33</v>
      </c>
      <c r="N100" s="15" t="s">
        <v>33</v>
      </c>
      <c r="O100" s="15" t="s">
        <v>33</v>
      </c>
      <c r="P100" s="15" t="s">
        <v>33</v>
      </c>
      <c r="Q100" s="15" t="s">
        <v>33</v>
      </c>
      <c r="R100" s="15" t="s">
        <v>33</v>
      </c>
      <c r="S100" s="15" t="s">
        <v>33</v>
      </c>
      <c r="T100" s="15" t="s">
        <v>33</v>
      </c>
      <c r="U100" s="15">
        <f t="shared" ref="U100:U103" si="45">TEXT(D100-C100,"[mm]")/60</f>
        <v>14.45</v>
      </c>
      <c r="V100" s="20" t="s">
        <v>33</v>
      </c>
      <c r="W100" s="20" t="s">
        <v>33</v>
      </c>
      <c r="X100" s="20" t="s">
        <v>33</v>
      </c>
      <c r="Y100" s="20" t="s">
        <v>1020</v>
      </c>
      <c r="Z100" s="20" t="s">
        <v>33</v>
      </c>
      <c r="AA100" s="20" t="s">
        <v>33</v>
      </c>
      <c r="AB100" s="20" t="s">
        <v>33</v>
      </c>
      <c r="AC100" s="20" t="s">
        <v>33</v>
      </c>
      <c r="AD100" s="15">
        <f t="shared" ref="AD100:AD103" si="46">AVERAGE(U100:AC100)</f>
        <v>14.45</v>
      </c>
      <c r="AE100" s="15" t="s">
        <v>34</v>
      </c>
      <c r="AF100" s="15" t="s">
        <v>35</v>
      </c>
      <c r="AG100" s="15" t="s">
        <v>35</v>
      </c>
      <c r="AH100" s="15">
        <f t="shared" si="1"/>
        <v>10</v>
      </c>
      <c r="AI100" s="15"/>
      <c r="AJ100" s="15" t="s">
        <v>61</v>
      </c>
    </row>
    <row r="101" ht="15.75" customHeight="1">
      <c r="A101" s="15" t="s">
        <v>542</v>
      </c>
      <c r="B101" s="23" t="s">
        <v>1021</v>
      </c>
      <c r="C101" s="15" t="s">
        <v>1022</v>
      </c>
      <c r="D101" s="15" t="s">
        <v>1023</v>
      </c>
      <c r="E101" s="19">
        <v>46122.680555555555</v>
      </c>
      <c r="F101" s="19">
        <v>46131.93194444444</v>
      </c>
      <c r="G101" s="15" t="s">
        <v>33</v>
      </c>
      <c r="H101" s="15" t="s">
        <v>1024</v>
      </c>
      <c r="I101" s="15" t="s">
        <v>33</v>
      </c>
      <c r="J101" s="15" t="s">
        <v>1025</v>
      </c>
      <c r="K101" s="15" t="s">
        <v>33</v>
      </c>
      <c r="L101" s="15" t="s">
        <v>1026</v>
      </c>
      <c r="M101" s="15" t="s">
        <v>33</v>
      </c>
      <c r="N101" s="15" t="s">
        <v>1027</v>
      </c>
      <c r="O101" s="15" t="s">
        <v>33</v>
      </c>
      <c r="P101" s="15" t="s">
        <v>33</v>
      </c>
      <c r="Q101" s="15" t="s">
        <v>33</v>
      </c>
      <c r="R101" s="15" t="s">
        <v>33</v>
      </c>
      <c r="S101" s="15" t="s">
        <v>33</v>
      </c>
      <c r="T101" s="15" t="s">
        <v>33</v>
      </c>
      <c r="U101" s="15">
        <f t="shared" si="45"/>
        <v>18.06666667</v>
      </c>
      <c r="V101" s="15">
        <f t="shared" ref="V101:V103" si="47">TEXT(F101-E101,"[mm]")/60</f>
        <v>222.0333333</v>
      </c>
      <c r="W101" s="20" t="s">
        <v>33</v>
      </c>
      <c r="X101" s="20" t="s">
        <v>33</v>
      </c>
      <c r="Y101" s="20" t="s">
        <v>33</v>
      </c>
      <c r="Z101" s="20" t="s">
        <v>33</v>
      </c>
      <c r="AA101" s="20" t="s">
        <v>33</v>
      </c>
      <c r="AB101" s="20" t="s">
        <v>33</v>
      </c>
      <c r="AC101" s="20" t="s">
        <v>33</v>
      </c>
      <c r="AD101" s="15">
        <f t="shared" si="46"/>
        <v>120.05</v>
      </c>
      <c r="AE101" s="15" t="s">
        <v>34</v>
      </c>
      <c r="AF101" s="15" t="s">
        <v>35</v>
      </c>
      <c r="AG101" s="15" t="s">
        <v>35</v>
      </c>
      <c r="AH101" s="15">
        <f t="shared" si="1"/>
        <v>10</v>
      </c>
      <c r="AI101" s="15"/>
      <c r="AJ101" s="15" t="s">
        <v>61</v>
      </c>
    </row>
    <row r="102" ht="15.75" customHeight="1">
      <c r="A102" s="15" t="s">
        <v>542</v>
      </c>
      <c r="B102" s="23" t="s">
        <v>1028</v>
      </c>
      <c r="C102" s="15" t="s">
        <v>1029</v>
      </c>
      <c r="D102" s="15" t="s">
        <v>1030</v>
      </c>
      <c r="E102" s="19">
        <v>46121.77222222222</v>
      </c>
      <c r="F102" s="19">
        <v>46121.89097222222</v>
      </c>
      <c r="G102" s="19">
        <v>46122.44652777778</v>
      </c>
      <c r="H102" s="19">
        <v>46123.447916666664</v>
      </c>
      <c r="I102" s="20" t="s">
        <v>1031</v>
      </c>
      <c r="J102" s="19">
        <v>46124.479166666664</v>
      </c>
      <c r="K102" s="19">
        <v>46123.44930555556</v>
      </c>
      <c r="L102" s="19">
        <v>46134.35972222222</v>
      </c>
      <c r="M102" s="15" t="s">
        <v>33</v>
      </c>
      <c r="N102" s="15" t="s">
        <v>1032</v>
      </c>
      <c r="O102" s="15" t="s">
        <v>33</v>
      </c>
      <c r="P102" s="15" t="s">
        <v>1033</v>
      </c>
      <c r="Q102" s="15" t="s">
        <v>33</v>
      </c>
      <c r="R102" s="15" t="s">
        <v>1034</v>
      </c>
      <c r="S102" s="15" t="s">
        <v>33</v>
      </c>
      <c r="T102" s="15" t="s">
        <v>1035</v>
      </c>
      <c r="U102" s="15">
        <f t="shared" si="45"/>
        <v>0.01666666667</v>
      </c>
      <c r="V102" s="15">
        <f t="shared" si="47"/>
        <v>2.85</v>
      </c>
      <c r="W102" s="15">
        <f t="shared" ref="W102:W103" si="48">TEXT(H102-G102,"[mm]")/60</f>
        <v>24.03333333</v>
      </c>
      <c r="X102" s="20" t="s">
        <v>33</v>
      </c>
      <c r="Y102" s="15">
        <f>TEXT(L102-K102,"[mm]")/60</f>
        <v>261.85</v>
      </c>
      <c r="Z102" s="20" t="s">
        <v>33</v>
      </c>
      <c r="AA102" s="20" t="s">
        <v>33</v>
      </c>
      <c r="AB102" s="20" t="s">
        <v>33</v>
      </c>
      <c r="AC102" s="20" t="s">
        <v>33</v>
      </c>
      <c r="AD102" s="15">
        <f t="shared" si="46"/>
        <v>72.1875</v>
      </c>
      <c r="AE102" s="15" t="s">
        <v>34</v>
      </c>
      <c r="AF102" s="15" t="s">
        <v>35</v>
      </c>
      <c r="AG102" s="15" t="s">
        <v>35</v>
      </c>
      <c r="AH102" s="15">
        <f t="shared" si="1"/>
        <v>10</v>
      </c>
      <c r="AI102" s="15"/>
      <c r="AJ102" s="15" t="s">
        <v>61</v>
      </c>
    </row>
    <row r="103" ht="15.75" customHeight="1">
      <c r="A103" s="15" t="s">
        <v>542</v>
      </c>
      <c r="B103" s="23" t="s">
        <v>1036</v>
      </c>
      <c r="C103" s="15" t="s">
        <v>1037</v>
      </c>
      <c r="D103" s="15" t="s">
        <v>1038</v>
      </c>
      <c r="E103" s="19">
        <v>46121.74722222222</v>
      </c>
      <c r="F103" s="19">
        <v>46121.833333333336</v>
      </c>
      <c r="G103" s="19">
        <v>46122.46805555555</v>
      </c>
      <c r="H103" s="19">
        <v>46123.48472222222</v>
      </c>
      <c r="I103" s="15" t="s">
        <v>33</v>
      </c>
      <c r="J103" s="15" t="s">
        <v>1039</v>
      </c>
      <c r="K103" s="15" t="s">
        <v>33</v>
      </c>
      <c r="L103" s="15" t="s">
        <v>1040</v>
      </c>
      <c r="M103" s="15" t="s">
        <v>33</v>
      </c>
      <c r="N103" s="15" t="s">
        <v>33</v>
      </c>
      <c r="O103" s="15" t="s">
        <v>33</v>
      </c>
      <c r="P103" s="15" t="s">
        <v>33</v>
      </c>
      <c r="Q103" s="15" t="s">
        <v>33</v>
      </c>
      <c r="R103" s="15" t="s">
        <v>33</v>
      </c>
      <c r="S103" s="15" t="s">
        <v>33</v>
      </c>
      <c r="T103" s="15" t="s">
        <v>33</v>
      </c>
      <c r="U103" s="15">
        <f t="shared" si="45"/>
        <v>0.08333333333</v>
      </c>
      <c r="V103" s="15">
        <f t="shared" si="47"/>
        <v>2.066666667</v>
      </c>
      <c r="W103" s="15">
        <f t="shared" si="48"/>
        <v>24.4</v>
      </c>
      <c r="X103" s="20" t="s">
        <v>33</v>
      </c>
      <c r="Y103" s="20" t="s">
        <v>33</v>
      </c>
      <c r="Z103" s="20" t="s">
        <v>33</v>
      </c>
      <c r="AA103" s="20" t="s">
        <v>33</v>
      </c>
      <c r="AB103" s="20" t="s">
        <v>33</v>
      </c>
      <c r="AC103" s="20" t="s">
        <v>33</v>
      </c>
      <c r="AD103" s="15">
        <f t="shared" si="46"/>
        <v>8.85</v>
      </c>
      <c r="AE103" s="15" t="s">
        <v>34</v>
      </c>
      <c r="AF103" s="15" t="s">
        <v>35</v>
      </c>
      <c r="AG103" s="15" t="s">
        <v>35</v>
      </c>
      <c r="AH103" s="15">
        <f t="shared" si="1"/>
        <v>10</v>
      </c>
      <c r="AI103" s="15"/>
      <c r="AJ103" s="15" t="s">
        <v>61</v>
      </c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>
        <f>AVERAGE(AD3:AD103)</f>
        <v>15.40510344</v>
      </c>
      <c r="AE104" s="22"/>
      <c r="AF104" s="22"/>
      <c r="AG104" s="22"/>
      <c r="AH104" s="22">
        <f>SUM(AH3:AH103)</f>
        <v>260</v>
      </c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</row>
  </sheetData>
  <hyperlinks>
    <hyperlink r:id="rId1" ref="B15"/>
    <hyperlink r:id="rId2" ref="B59"/>
  </hyperlinks>
  <printOptions/>
  <pageMargins bottom="1.0" footer="0.0" header="0.0" left="0.75" right="0.75" top="1.0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67.71"/>
    <col customWidth="1" min="3" max="20" width="16.0"/>
    <col customWidth="1" min="21" max="36" width="14.0"/>
  </cols>
  <sheetData>
    <row r="1" ht="30.0" customHeight="1">
      <c r="A1" s="24" t="s">
        <v>0</v>
      </c>
      <c r="B1" s="24" t="s">
        <v>1</v>
      </c>
      <c r="C1" s="24" t="s">
        <v>2</v>
      </c>
      <c r="D1" s="24"/>
      <c r="E1" s="24" t="s">
        <v>3</v>
      </c>
      <c r="F1" s="24"/>
      <c r="G1" s="24" t="s">
        <v>4</v>
      </c>
      <c r="H1" s="24"/>
      <c r="I1" s="24" t="s">
        <v>5</v>
      </c>
      <c r="J1" s="24"/>
      <c r="K1" s="24" t="s">
        <v>6</v>
      </c>
      <c r="L1" s="24"/>
      <c r="M1" s="24" t="s">
        <v>7</v>
      </c>
      <c r="N1" s="24"/>
      <c r="O1" s="24" t="s">
        <v>8</v>
      </c>
      <c r="P1" s="24"/>
      <c r="Q1" s="24" t="s">
        <v>9</v>
      </c>
      <c r="R1" s="24"/>
      <c r="S1" s="24" t="s">
        <v>10</v>
      </c>
      <c r="T1" s="24"/>
      <c r="U1" s="24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25" t="s">
        <v>20</v>
      </c>
      <c r="AE1" s="24" t="s">
        <v>21</v>
      </c>
      <c r="AF1" s="24" t="s">
        <v>22</v>
      </c>
      <c r="AG1" s="24" t="s">
        <v>23</v>
      </c>
      <c r="AH1" s="24" t="s">
        <v>24</v>
      </c>
      <c r="AI1" s="24" t="s">
        <v>25</v>
      </c>
      <c r="AJ1" s="24" t="s">
        <v>26</v>
      </c>
    </row>
    <row r="2" ht="21.75" customHeight="1">
      <c r="A2" s="24" t="s">
        <v>0</v>
      </c>
      <c r="B2" s="24" t="s">
        <v>1</v>
      </c>
      <c r="C2" s="24" t="s">
        <v>27</v>
      </c>
      <c r="D2" s="24" t="s">
        <v>0</v>
      </c>
      <c r="E2" s="24" t="s">
        <v>27</v>
      </c>
      <c r="F2" s="24" t="s">
        <v>0</v>
      </c>
      <c r="G2" s="24" t="s">
        <v>27</v>
      </c>
      <c r="H2" s="24" t="s">
        <v>0</v>
      </c>
      <c r="I2" s="24" t="s">
        <v>27</v>
      </c>
      <c r="J2" s="24" t="s">
        <v>0</v>
      </c>
      <c r="K2" s="24" t="s">
        <v>27</v>
      </c>
      <c r="L2" s="24" t="s">
        <v>0</v>
      </c>
      <c r="M2" s="24" t="s">
        <v>27</v>
      </c>
      <c r="N2" s="24" t="s">
        <v>0</v>
      </c>
      <c r="O2" s="24" t="s">
        <v>27</v>
      </c>
      <c r="P2" s="24" t="s">
        <v>0</v>
      </c>
      <c r="Q2" s="24" t="s">
        <v>27</v>
      </c>
      <c r="R2" s="24" t="s">
        <v>0</v>
      </c>
      <c r="S2" s="24" t="s">
        <v>27</v>
      </c>
      <c r="T2" s="24" t="s">
        <v>0</v>
      </c>
      <c r="U2" s="24" t="s">
        <v>11</v>
      </c>
      <c r="V2" s="24"/>
      <c r="W2" s="24"/>
      <c r="X2" s="24"/>
      <c r="Y2" s="24"/>
      <c r="Z2" s="24"/>
      <c r="AA2" s="24"/>
      <c r="AB2" s="24"/>
      <c r="AC2" s="24"/>
      <c r="AD2" s="24"/>
      <c r="AE2" s="24" t="s">
        <v>21</v>
      </c>
      <c r="AF2" s="24" t="s">
        <v>22</v>
      </c>
      <c r="AG2" s="24" t="s">
        <v>23</v>
      </c>
      <c r="AH2" s="24" t="s">
        <v>24</v>
      </c>
      <c r="AI2" s="24" t="s">
        <v>25</v>
      </c>
      <c r="AJ2" s="24" t="s">
        <v>26</v>
      </c>
    </row>
    <row r="3" ht="15.75" customHeight="1">
      <c r="A3" s="26" t="s">
        <v>1041</v>
      </c>
      <c r="B3" s="27" t="s">
        <v>1042</v>
      </c>
      <c r="C3" s="26" t="s">
        <v>1043</v>
      </c>
      <c r="D3" s="26" t="s">
        <v>33</v>
      </c>
      <c r="E3" s="26" t="s">
        <v>33</v>
      </c>
      <c r="F3" s="26" t="s">
        <v>33</v>
      </c>
      <c r="G3" s="26" t="s">
        <v>33</v>
      </c>
      <c r="H3" s="26" t="s">
        <v>33</v>
      </c>
      <c r="I3" s="26" t="s">
        <v>33</v>
      </c>
      <c r="J3" s="26" t="s">
        <v>33</v>
      </c>
      <c r="K3" s="26" t="s">
        <v>33</v>
      </c>
      <c r="L3" s="26" t="s">
        <v>33</v>
      </c>
      <c r="M3" s="26" t="s">
        <v>33</v>
      </c>
      <c r="N3" s="26" t="s">
        <v>33</v>
      </c>
      <c r="O3" s="26" t="s">
        <v>33</v>
      </c>
      <c r="P3" s="26" t="s">
        <v>33</v>
      </c>
      <c r="Q3" s="26" t="s">
        <v>33</v>
      </c>
      <c r="R3" s="26" t="s">
        <v>33</v>
      </c>
      <c r="S3" s="26" t="s">
        <v>33</v>
      </c>
      <c r="T3" s="26" t="s">
        <v>33</v>
      </c>
      <c r="U3" s="28" t="s">
        <v>33</v>
      </c>
      <c r="V3" s="28" t="s">
        <v>33</v>
      </c>
      <c r="W3" s="29" t="s">
        <v>33</v>
      </c>
      <c r="X3" s="29" t="s">
        <v>33</v>
      </c>
      <c r="Y3" s="29" t="s">
        <v>33</v>
      </c>
      <c r="Z3" s="29" t="s">
        <v>33</v>
      </c>
      <c r="AA3" s="29" t="s">
        <v>33</v>
      </c>
      <c r="AB3" s="29" t="s">
        <v>33</v>
      </c>
      <c r="AC3" s="29" t="s">
        <v>33</v>
      </c>
      <c r="AD3" s="29" t="s">
        <v>33</v>
      </c>
      <c r="AE3" s="26" t="s">
        <v>35</v>
      </c>
      <c r="AF3" s="26" t="s">
        <v>35</v>
      </c>
      <c r="AG3" s="26" t="s">
        <v>35</v>
      </c>
      <c r="AH3" s="26">
        <f t="shared" ref="AH3:AH9" si="1">IF(AND(AE3="FALSE",AF3="FALSE",AG3="FALSE"),-15,IF(AE3="TRUE",10,IF(AF3="TRUE",5,IF(AG3="TRUE",-10,""))))</f>
        <v>-15</v>
      </c>
      <c r="AI3" s="26"/>
      <c r="AJ3" s="26" t="s">
        <v>61</v>
      </c>
    </row>
    <row r="4" ht="15.75" customHeight="1">
      <c r="A4" s="26" t="s">
        <v>1041</v>
      </c>
      <c r="B4" s="27" t="s">
        <v>1044</v>
      </c>
      <c r="C4" s="26" t="s">
        <v>1045</v>
      </c>
      <c r="D4" s="26" t="s">
        <v>33</v>
      </c>
      <c r="E4" s="26" t="s">
        <v>33</v>
      </c>
      <c r="F4" s="26" t="s">
        <v>33</v>
      </c>
      <c r="G4" s="26" t="s">
        <v>33</v>
      </c>
      <c r="H4" s="26" t="s">
        <v>33</v>
      </c>
      <c r="I4" s="26" t="s">
        <v>33</v>
      </c>
      <c r="J4" s="26" t="s">
        <v>33</v>
      </c>
      <c r="K4" s="26" t="s">
        <v>33</v>
      </c>
      <c r="L4" s="26" t="s">
        <v>33</v>
      </c>
      <c r="M4" s="26" t="s">
        <v>33</v>
      </c>
      <c r="N4" s="26" t="s">
        <v>33</v>
      </c>
      <c r="O4" s="26" t="s">
        <v>33</v>
      </c>
      <c r="P4" s="26" t="s">
        <v>33</v>
      </c>
      <c r="Q4" s="26" t="s">
        <v>33</v>
      </c>
      <c r="R4" s="26" t="s">
        <v>33</v>
      </c>
      <c r="S4" s="26" t="s">
        <v>33</v>
      </c>
      <c r="T4" s="26" t="s">
        <v>33</v>
      </c>
      <c r="U4" s="28" t="s">
        <v>33</v>
      </c>
      <c r="V4" s="28" t="s">
        <v>33</v>
      </c>
      <c r="W4" s="29" t="s">
        <v>33</v>
      </c>
      <c r="X4" s="29" t="s">
        <v>33</v>
      </c>
      <c r="Y4" s="29" t="s">
        <v>33</v>
      </c>
      <c r="Z4" s="29" t="s">
        <v>33</v>
      </c>
      <c r="AA4" s="29" t="s">
        <v>33</v>
      </c>
      <c r="AB4" s="29" t="s">
        <v>33</v>
      </c>
      <c r="AC4" s="29" t="s">
        <v>33</v>
      </c>
      <c r="AD4" s="29" t="s">
        <v>33</v>
      </c>
      <c r="AE4" s="26" t="s">
        <v>35</v>
      </c>
      <c r="AF4" s="26" t="s">
        <v>35</v>
      </c>
      <c r="AG4" s="26" t="s">
        <v>35</v>
      </c>
      <c r="AH4" s="26">
        <f t="shared" si="1"/>
        <v>-15</v>
      </c>
      <c r="AI4" s="26"/>
      <c r="AJ4" s="26" t="s">
        <v>61</v>
      </c>
    </row>
    <row r="5" ht="15.75" customHeight="1">
      <c r="A5" s="26" t="s">
        <v>1041</v>
      </c>
      <c r="B5" s="27" t="s">
        <v>1046</v>
      </c>
      <c r="C5" s="26" t="s">
        <v>1047</v>
      </c>
      <c r="D5" s="26" t="s">
        <v>33</v>
      </c>
      <c r="E5" s="26" t="s">
        <v>33</v>
      </c>
      <c r="F5" s="26" t="s">
        <v>33</v>
      </c>
      <c r="G5" s="26" t="s">
        <v>33</v>
      </c>
      <c r="H5" s="26" t="s">
        <v>33</v>
      </c>
      <c r="I5" s="26" t="s">
        <v>33</v>
      </c>
      <c r="J5" s="26" t="s">
        <v>33</v>
      </c>
      <c r="K5" s="26" t="s">
        <v>33</v>
      </c>
      <c r="L5" s="26" t="s">
        <v>33</v>
      </c>
      <c r="M5" s="26" t="s">
        <v>33</v>
      </c>
      <c r="N5" s="26" t="s">
        <v>33</v>
      </c>
      <c r="O5" s="26" t="s">
        <v>33</v>
      </c>
      <c r="P5" s="26" t="s">
        <v>33</v>
      </c>
      <c r="Q5" s="26" t="s">
        <v>33</v>
      </c>
      <c r="R5" s="26" t="s">
        <v>33</v>
      </c>
      <c r="S5" s="26" t="s">
        <v>33</v>
      </c>
      <c r="T5" s="26" t="s">
        <v>33</v>
      </c>
      <c r="U5" s="28" t="s">
        <v>33</v>
      </c>
      <c r="V5" s="28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29" t="s">
        <v>33</v>
      </c>
      <c r="AB5" s="29" t="s">
        <v>33</v>
      </c>
      <c r="AC5" s="29" t="s">
        <v>33</v>
      </c>
      <c r="AD5" s="29" t="s">
        <v>33</v>
      </c>
      <c r="AE5" s="26" t="s">
        <v>35</v>
      </c>
      <c r="AF5" s="26" t="s">
        <v>35</v>
      </c>
      <c r="AG5" s="26" t="s">
        <v>35</v>
      </c>
      <c r="AH5" s="26">
        <f t="shared" si="1"/>
        <v>-15</v>
      </c>
      <c r="AI5" s="26"/>
      <c r="AJ5" s="26" t="s">
        <v>61</v>
      </c>
    </row>
    <row r="6" ht="15.75" customHeight="1">
      <c r="A6" s="26" t="s">
        <v>1041</v>
      </c>
      <c r="B6" s="27" t="s">
        <v>1048</v>
      </c>
      <c r="C6" s="26" t="s">
        <v>1049</v>
      </c>
      <c r="D6" s="26" t="s">
        <v>33</v>
      </c>
      <c r="E6" s="26" t="s">
        <v>33</v>
      </c>
      <c r="F6" s="26" t="s">
        <v>33</v>
      </c>
      <c r="G6" s="26" t="s">
        <v>33</v>
      </c>
      <c r="H6" s="26" t="s">
        <v>33</v>
      </c>
      <c r="I6" s="26" t="s">
        <v>33</v>
      </c>
      <c r="J6" s="26" t="s">
        <v>33</v>
      </c>
      <c r="K6" s="26" t="s">
        <v>33</v>
      </c>
      <c r="L6" s="26" t="s">
        <v>33</v>
      </c>
      <c r="M6" s="26" t="s">
        <v>33</v>
      </c>
      <c r="N6" s="26" t="s">
        <v>33</v>
      </c>
      <c r="O6" s="26" t="s">
        <v>33</v>
      </c>
      <c r="P6" s="26" t="s">
        <v>33</v>
      </c>
      <c r="Q6" s="26" t="s">
        <v>33</v>
      </c>
      <c r="R6" s="26" t="s">
        <v>33</v>
      </c>
      <c r="S6" s="26" t="s">
        <v>33</v>
      </c>
      <c r="T6" s="26" t="s">
        <v>33</v>
      </c>
      <c r="U6" s="28" t="s">
        <v>33</v>
      </c>
      <c r="V6" s="28" t="s">
        <v>33</v>
      </c>
      <c r="W6" s="29" t="s">
        <v>33</v>
      </c>
      <c r="X6" s="29" t="s">
        <v>33</v>
      </c>
      <c r="Y6" s="29" t="s">
        <v>33</v>
      </c>
      <c r="Z6" s="29" t="s">
        <v>33</v>
      </c>
      <c r="AA6" s="29" t="s">
        <v>33</v>
      </c>
      <c r="AB6" s="29" t="s">
        <v>33</v>
      </c>
      <c r="AC6" s="29" t="s">
        <v>33</v>
      </c>
      <c r="AD6" s="29" t="s">
        <v>33</v>
      </c>
      <c r="AE6" s="26" t="s">
        <v>35</v>
      </c>
      <c r="AF6" s="26" t="s">
        <v>35</v>
      </c>
      <c r="AG6" s="26" t="s">
        <v>35</v>
      </c>
      <c r="AH6" s="26">
        <f t="shared" si="1"/>
        <v>-15</v>
      </c>
      <c r="AI6" s="26"/>
      <c r="AJ6" s="26" t="s">
        <v>61</v>
      </c>
    </row>
    <row r="7" ht="15.75" customHeight="1">
      <c r="A7" s="26" t="s">
        <v>1041</v>
      </c>
      <c r="B7" s="27" t="s">
        <v>1050</v>
      </c>
      <c r="C7" s="26" t="s">
        <v>1051</v>
      </c>
      <c r="D7" s="26" t="s">
        <v>33</v>
      </c>
      <c r="E7" s="26" t="s">
        <v>33</v>
      </c>
      <c r="F7" s="26" t="s">
        <v>33</v>
      </c>
      <c r="G7" s="26" t="s">
        <v>33</v>
      </c>
      <c r="H7" s="26" t="s">
        <v>33</v>
      </c>
      <c r="I7" s="26" t="s">
        <v>33</v>
      </c>
      <c r="J7" s="26" t="s">
        <v>33</v>
      </c>
      <c r="K7" s="26" t="s">
        <v>33</v>
      </c>
      <c r="L7" s="26" t="s">
        <v>33</v>
      </c>
      <c r="M7" s="26" t="s">
        <v>33</v>
      </c>
      <c r="N7" s="26" t="s">
        <v>33</v>
      </c>
      <c r="O7" s="26" t="s">
        <v>33</v>
      </c>
      <c r="P7" s="26" t="s">
        <v>33</v>
      </c>
      <c r="Q7" s="26" t="s">
        <v>33</v>
      </c>
      <c r="R7" s="26" t="s">
        <v>33</v>
      </c>
      <c r="S7" s="26" t="s">
        <v>33</v>
      </c>
      <c r="T7" s="26" t="s">
        <v>33</v>
      </c>
      <c r="U7" s="28" t="s">
        <v>33</v>
      </c>
      <c r="V7" s="28" t="s">
        <v>33</v>
      </c>
      <c r="W7" s="29" t="s">
        <v>33</v>
      </c>
      <c r="X7" s="29" t="s">
        <v>33</v>
      </c>
      <c r="Y7" s="29" t="s">
        <v>33</v>
      </c>
      <c r="Z7" s="29" t="s">
        <v>33</v>
      </c>
      <c r="AA7" s="29" t="s">
        <v>33</v>
      </c>
      <c r="AB7" s="29" t="s">
        <v>33</v>
      </c>
      <c r="AC7" s="29" t="s">
        <v>33</v>
      </c>
      <c r="AD7" s="29" t="s">
        <v>33</v>
      </c>
      <c r="AE7" s="26" t="s">
        <v>35</v>
      </c>
      <c r="AF7" s="26" t="s">
        <v>35</v>
      </c>
      <c r="AG7" s="26" t="s">
        <v>35</v>
      </c>
      <c r="AH7" s="26">
        <f t="shared" si="1"/>
        <v>-15</v>
      </c>
      <c r="AI7" s="26"/>
      <c r="AJ7" s="26" t="s">
        <v>61</v>
      </c>
    </row>
    <row r="8" ht="15.75" customHeight="1">
      <c r="A8" s="26" t="s">
        <v>1041</v>
      </c>
      <c r="B8" s="27" t="s">
        <v>1052</v>
      </c>
      <c r="C8" s="26" t="s">
        <v>1053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33</v>
      </c>
      <c r="L8" s="26" t="s">
        <v>33</v>
      </c>
      <c r="M8" s="26" t="s">
        <v>33</v>
      </c>
      <c r="N8" s="26" t="s">
        <v>33</v>
      </c>
      <c r="O8" s="26" t="s">
        <v>33</v>
      </c>
      <c r="P8" s="26" t="s">
        <v>33</v>
      </c>
      <c r="Q8" s="26" t="s">
        <v>33</v>
      </c>
      <c r="R8" s="26" t="s">
        <v>33</v>
      </c>
      <c r="S8" s="26" t="s">
        <v>33</v>
      </c>
      <c r="T8" s="26" t="s">
        <v>33</v>
      </c>
      <c r="U8" s="28" t="s">
        <v>33</v>
      </c>
      <c r="V8" s="28" t="s">
        <v>33</v>
      </c>
      <c r="W8" s="29" t="s">
        <v>33</v>
      </c>
      <c r="X8" s="29" t="s">
        <v>33</v>
      </c>
      <c r="Y8" s="29" t="s">
        <v>33</v>
      </c>
      <c r="Z8" s="29" t="s">
        <v>33</v>
      </c>
      <c r="AA8" s="29" t="s">
        <v>33</v>
      </c>
      <c r="AB8" s="29" t="s">
        <v>33</v>
      </c>
      <c r="AC8" s="29" t="s">
        <v>33</v>
      </c>
      <c r="AD8" s="29" t="s">
        <v>33</v>
      </c>
      <c r="AE8" s="26" t="s">
        <v>35</v>
      </c>
      <c r="AF8" s="26" t="s">
        <v>35</v>
      </c>
      <c r="AG8" s="26" t="s">
        <v>35</v>
      </c>
      <c r="AH8" s="26">
        <f t="shared" si="1"/>
        <v>-15</v>
      </c>
      <c r="AI8" s="26"/>
      <c r="AJ8" s="26" t="s">
        <v>61</v>
      </c>
    </row>
    <row r="9" ht="15.75" customHeight="1">
      <c r="A9" s="26" t="s">
        <v>1041</v>
      </c>
      <c r="B9" s="27" t="s">
        <v>1054</v>
      </c>
      <c r="C9" s="26" t="s">
        <v>1055</v>
      </c>
      <c r="D9" s="26" t="s">
        <v>33</v>
      </c>
      <c r="E9" s="26" t="s">
        <v>33</v>
      </c>
      <c r="F9" s="26" t="s">
        <v>33</v>
      </c>
      <c r="G9" s="26" t="s">
        <v>33</v>
      </c>
      <c r="H9" s="26" t="s">
        <v>33</v>
      </c>
      <c r="I9" s="26" t="s">
        <v>33</v>
      </c>
      <c r="J9" s="26" t="s">
        <v>33</v>
      </c>
      <c r="K9" s="26" t="s">
        <v>33</v>
      </c>
      <c r="L9" s="26" t="s">
        <v>33</v>
      </c>
      <c r="M9" s="26" t="s">
        <v>33</v>
      </c>
      <c r="N9" s="26" t="s">
        <v>33</v>
      </c>
      <c r="O9" s="26" t="s">
        <v>33</v>
      </c>
      <c r="P9" s="26" t="s">
        <v>33</v>
      </c>
      <c r="Q9" s="26" t="s">
        <v>33</v>
      </c>
      <c r="R9" s="26" t="s">
        <v>33</v>
      </c>
      <c r="S9" s="26" t="s">
        <v>33</v>
      </c>
      <c r="T9" s="26" t="s">
        <v>33</v>
      </c>
      <c r="U9" s="28" t="s">
        <v>33</v>
      </c>
      <c r="V9" s="28" t="s">
        <v>33</v>
      </c>
      <c r="W9" s="29" t="s">
        <v>33</v>
      </c>
      <c r="X9" s="29" t="s">
        <v>33</v>
      </c>
      <c r="Y9" s="29" t="s">
        <v>33</v>
      </c>
      <c r="Z9" s="29" t="s">
        <v>33</v>
      </c>
      <c r="AA9" s="29" t="s">
        <v>33</v>
      </c>
      <c r="AB9" s="29" t="s">
        <v>33</v>
      </c>
      <c r="AC9" s="29" t="s">
        <v>33</v>
      </c>
      <c r="AD9" s="29" t="s">
        <v>33</v>
      </c>
      <c r="AE9" s="26" t="s">
        <v>35</v>
      </c>
      <c r="AF9" s="26" t="s">
        <v>35</v>
      </c>
      <c r="AG9" s="26" t="s">
        <v>35</v>
      </c>
      <c r="AH9" s="26">
        <f t="shared" si="1"/>
        <v>-15</v>
      </c>
      <c r="AI9" s="26"/>
      <c r="AJ9" s="26" t="s">
        <v>61</v>
      </c>
    </row>
    <row r="10">
      <c r="AD10" s="30" t="s">
        <v>33</v>
      </c>
      <c r="AH10" s="21">
        <f>SUM(AH3:AH9)</f>
        <v>-105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printOptions/>
  <pageMargins bottom="1.0" footer="0.0" header="0.0" left="0.75" right="0.75" top="1.0"/>
  <pageSetup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5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1056</v>
      </c>
      <c r="B3" s="16" t="s">
        <v>1057</v>
      </c>
      <c r="C3" s="15" t="s">
        <v>1058</v>
      </c>
      <c r="D3" s="15" t="s">
        <v>1059</v>
      </c>
      <c r="E3" s="15" t="s">
        <v>33</v>
      </c>
      <c r="F3" s="15" t="s">
        <v>1060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>TEXT(D3-C3,"[mm]")/60</f>
        <v>0.06666666667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>AVERAGE(U3:AC3)</f>
        <v>0.06666666667</v>
      </c>
      <c r="AE3" s="15" t="s">
        <v>34</v>
      </c>
      <c r="AF3" s="15" t="s">
        <v>35</v>
      </c>
      <c r="AG3" s="15" t="s">
        <v>35</v>
      </c>
      <c r="AH3" s="15">
        <f t="shared" ref="AH3:AH19" si="1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1056</v>
      </c>
      <c r="B4" s="16" t="s">
        <v>1061</v>
      </c>
      <c r="C4" s="15" t="s">
        <v>1062</v>
      </c>
      <c r="D4" s="15" t="s">
        <v>33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20" t="s">
        <v>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20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1056</v>
      </c>
      <c r="B5" s="16" t="s">
        <v>1063</v>
      </c>
      <c r="C5" s="15" t="s">
        <v>1064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1056</v>
      </c>
      <c r="B6" s="16" t="s">
        <v>1065</v>
      </c>
      <c r="C6" s="15" t="s">
        <v>1066</v>
      </c>
      <c r="D6" s="15" t="s">
        <v>1067</v>
      </c>
      <c r="E6" s="15" t="s">
        <v>1068</v>
      </c>
      <c r="F6" s="15" t="s">
        <v>1069</v>
      </c>
      <c r="G6" s="15" t="s">
        <v>1070</v>
      </c>
      <c r="H6" s="15" t="s">
        <v>33</v>
      </c>
      <c r="I6" s="15" t="s">
        <v>1071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>TEXT(D6-C6,"[mm]")/60</f>
        <v>9.15</v>
      </c>
      <c r="V6" s="15">
        <f>TEXT(F6-E6,"[mm]")/60</f>
        <v>52.76666667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>AVERAGE(U6:AC6)</f>
        <v>30.95833333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1056</v>
      </c>
      <c r="B7" s="16" t="s">
        <v>1072</v>
      </c>
      <c r="C7" s="15" t="s">
        <v>1073</v>
      </c>
      <c r="D7" s="15" t="s">
        <v>33</v>
      </c>
      <c r="E7" s="15" t="s">
        <v>1074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20" t="s">
        <v>33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20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 ht="15.75" customHeight="1">
      <c r="A8" s="15" t="s">
        <v>1056</v>
      </c>
      <c r="B8" s="16" t="s">
        <v>1075</v>
      </c>
      <c r="C8" s="15" t="s">
        <v>1076</v>
      </c>
      <c r="D8" s="15" t="s">
        <v>1077</v>
      </c>
      <c r="E8" s="15" t="s">
        <v>1078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ref="U8:U9" si="2">TEXT(D8-C8,"[mm]")/60</f>
        <v>0.03333333333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ref="AD8:AD9" si="3">AVERAGE(U8:AC8)</f>
        <v>0.03333333333</v>
      </c>
      <c r="AE8" s="15" t="s">
        <v>34</v>
      </c>
      <c r="AF8" s="15" t="s">
        <v>35</v>
      </c>
      <c r="AG8" s="15" t="s">
        <v>35</v>
      </c>
      <c r="AH8" s="15">
        <f t="shared" si="1"/>
        <v>10</v>
      </c>
      <c r="AI8" s="15"/>
      <c r="AJ8" s="15" t="s">
        <v>61</v>
      </c>
    </row>
    <row r="9" ht="15.75" customHeight="1">
      <c r="A9" s="15" t="s">
        <v>1056</v>
      </c>
      <c r="B9" s="16" t="s">
        <v>1079</v>
      </c>
      <c r="C9" s="15" t="s">
        <v>1080</v>
      </c>
      <c r="D9" s="15" t="s">
        <v>1081</v>
      </c>
      <c r="E9" s="15" t="s">
        <v>1082</v>
      </c>
      <c r="F9" s="15" t="s">
        <v>729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2"/>
        <v>0.3333333333</v>
      </c>
      <c r="V9" s="15">
        <f>TEXT(F9-E9,"[mm]")/60</f>
        <v>77.75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3"/>
        <v>39.04166667</v>
      </c>
      <c r="AE9" s="15" t="s">
        <v>34</v>
      </c>
      <c r="AF9" s="15" t="s">
        <v>35</v>
      </c>
      <c r="AG9" s="15" t="s">
        <v>35</v>
      </c>
      <c r="AH9" s="15">
        <f t="shared" si="1"/>
        <v>10</v>
      </c>
      <c r="AI9" s="15"/>
      <c r="AJ9" s="15" t="s">
        <v>61</v>
      </c>
    </row>
    <row r="10" ht="15.75" customHeight="1">
      <c r="A10" s="15" t="s">
        <v>1056</v>
      </c>
      <c r="B10" s="16" t="s">
        <v>1083</v>
      </c>
      <c r="C10" s="15" t="s">
        <v>1084</v>
      </c>
      <c r="D10" s="15" t="s">
        <v>33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20" t="s">
        <v>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20" t="s">
        <v>33</v>
      </c>
      <c r="AE10" s="15" t="s">
        <v>35</v>
      </c>
      <c r="AF10" s="15" t="s">
        <v>35</v>
      </c>
      <c r="AG10" s="15" t="s">
        <v>35</v>
      </c>
      <c r="AH10" s="15">
        <f t="shared" si="1"/>
        <v>-15</v>
      </c>
      <c r="AI10" s="15"/>
      <c r="AJ10" s="15" t="s">
        <v>61</v>
      </c>
    </row>
    <row r="11" ht="15.75" customHeight="1">
      <c r="A11" s="15" t="s">
        <v>1056</v>
      </c>
      <c r="B11" s="16" t="s">
        <v>1085</v>
      </c>
      <c r="C11" s="15" t="s">
        <v>1086</v>
      </c>
      <c r="D11" s="15" t="s">
        <v>33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20" t="s">
        <v>33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20" t="s">
        <v>33</v>
      </c>
      <c r="AE11" s="15" t="s">
        <v>35</v>
      </c>
      <c r="AF11" s="15" t="s">
        <v>35</v>
      </c>
      <c r="AG11" s="15" t="s">
        <v>35</v>
      </c>
      <c r="AH11" s="15">
        <f t="shared" si="1"/>
        <v>-15</v>
      </c>
      <c r="AI11" s="15"/>
      <c r="AJ11" s="15" t="s">
        <v>61</v>
      </c>
    </row>
    <row r="12" ht="15.75" customHeight="1">
      <c r="A12" s="15" t="s">
        <v>1056</v>
      </c>
      <c r="B12" s="16" t="s">
        <v>1087</v>
      </c>
      <c r="C12" s="15" t="s">
        <v>1088</v>
      </c>
      <c r="D12" s="15" t="s">
        <v>1089</v>
      </c>
      <c r="E12" s="19">
        <v>46126.72430555556</v>
      </c>
      <c r="F12" s="19">
        <v>46127.79583333333</v>
      </c>
      <c r="G12" s="15" t="s">
        <v>33</v>
      </c>
      <c r="H12" s="15" t="s">
        <v>1090</v>
      </c>
      <c r="I12" s="15" t="s">
        <v>33</v>
      </c>
      <c r="J12" s="15" t="s">
        <v>1091</v>
      </c>
      <c r="K12" s="15" t="s">
        <v>33</v>
      </c>
      <c r="L12" s="15" t="s">
        <v>1092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ref="U12:U15" si="4">TEXT(D12-C12,"[mm]")/60</f>
        <v>0.05</v>
      </c>
      <c r="V12" s="15">
        <f>TEXT(F12-E12,"[mm]")/60</f>
        <v>25.71666667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ref="AD12:AD15" si="5">AVERAGE(U12:AC12)</f>
        <v>12.88333333</v>
      </c>
      <c r="AE12" s="15" t="s">
        <v>34</v>
      </c>
      <c r="AF12" s="15" t="s">
        <v>35</v>
      </c>
      <c r="AG12" s="15" t="s">
        <v>35</v>
      </c>
      <c r="AH12" s="15">
        <f t="shared" si="1"/>
        <v>10</v>
      </c>
      <c r="AI12" s="15"/>
      <c r="AJ12" s="15" t="s">
        <v>61</v>
      </c>
    </row>
    <row r="13" ht="15.75" customHeight="1">
      <c r="A13" s="15" t="s">
        <v>1056</v>
      </c>
      <c r="B13" s="16" t="s">
        <v>1093</v>
      </c>
      <c r="C13" s="15" t="s">
        <v>1094</v>
      </c>
      <c r="D13" s="15" t="s">
        <v>1095</v>
      </c>
      <c r="E13" s="15" t="s">
        <v>33</v>
      </c>
      <c r="F13" s="15" t="s">
        <v>1096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4"/>
        <v>14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5"/>
        <v>14</v>
      </c>
      <c r="AE13" s="15" t="s">
        <v>34</v>
      </c>
      <c r="AF13" s="15" t="s">
        <v>35</v>
      </c>
      <c r="AG13" s="15" t="s">
        <v>35</v>
      </c>
      <c r="AH13" s="15">
        <f t="shared" si="1"/>
        <v>10</v>
      </c>
      <c r="AI13" s="15"/>
      <c r="AJ13" s="15" t="s">
        <v>61</v>
      </c>
    </row>
    <row r="14" ht="15.75" customHeight="1">
      <c r="A14" s="15" t="s">
        <v>1056</v>
      </c>
      <c r="B14" s="16" t="s">
        <v>1097</v>
      </c>
      <c r="C14" s="15" t="s">
        <v>1098</v>
      </c>
      <c r="D14" s="15" t="s">
        <v>1099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si="4"/>
        <v>0.08333333333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15">
        <f t="shared" si="5"/>
        <v>0.08333333333</v>
      </c>
      <c r="AE14" s="15" t="s">
        <v>34</v>
      </c>
      <c r="AF14" s="15" t="s">
        <v>35</v>
      </c>
      <c r="AG14" s="15" t="s">
        <v>35</v>
      </c>
      <c r="AH14" s="15">
        <f t="shared" si="1"/>
        <v>10</v>
      </c>
      <c r="AI14" s="15"/>
      <c r="AJ14" s="15" t="s">
        <v>61</v>
      </c>
    </row>
    <row r="15" ht="15.75" customHeight="1">
      <c r="A15" s="15" t="s">
        <v>1056</v>
      </c>
      <c r="B15" s="16" t="s">
        <v>1100</v>
      </c>
      <c r="C15" s="15" t="s">
        <v>1101</v>
      </c>
      <c r="D15" s="15" t="s">
        <v>1102</v>
      </c>
      <c r="E15" s="15" t="s">
        <v>1103</v>
      </c>
      <c r="F15" s="15" t="s">
        <v>1104</v>
      </c>
      <c r="G15" s="15" t="s">
        <v>1105</v>
      </c>
      <c r="H15" s="15" t="s">
        <v>1106</v>
      </c>
      <c r="I15" s="15" t="s">
        <v>1107</v>
      </c>
      <c r="J15" s="15" t="s">
        <v>1108</v>
      </c>
      <c r="K15" s="15" t="s">
        <v>1109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4"/>
        <v>0.06666666667</v>
      </c>
      <c r="V15" s="15">
        <f>TEXT(F15-E15,"[mm]")/60</f>
        <v>0.01666666667</v>
      </c>
      <c r="W15" s="15">
        <f>TEXT(H15-G15,"[mm]")/60</f>
        <v>15.95</v>
      </c>
      <c r="X15" s="15">
        <f>TEXT(J15-I15,"[mm]")/60</f>
        <v>97.91666667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5"/>
        <v>28.4875</v>
      </c>
      <c r="AE15" s="15" t="s">
        <v>34</v>
      </c>
      <c r="AF15" s="15" t="s">
        <v>35</v>
      </c>
      <c r="AG15" s="15" t="s">
        <v>35</v>
      </c>
      <c r="AH15" s="15">
        <f t="shared" si="1"/>
        <v>10</v>
      </c>
      <c r="AI15" s="15"/>
      <c r="AJ15" s="15" t="s">
        <v>61</v>
      </c>
    </row>
    <row r="16" ht="15.75" customHeight="1">
      <c r="A16" s="15" t="s">
        <v>1056</v>
      </c>
      <c r="B16" s="16" t="s">
        <v>1110</v>
      </c>
      <c r="C16" s="15" t="s">
        <v>1111</v>
      </c>
      <c r="D16" s="15" t="s">
        <v>33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20" t="s">
        <v>33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20" t="s">
        <v>33</v>
      </c>
      <c r="AE16" s="15" t="s">
        <v>35</v>
      </c>
      <c r="AF16" s="15" t="s">
        <v>35</v>
      </c>
      <c r="AG16" s="15" t="s">
        <v>35</v>
      </c>
      <c r="AH16" s="15">
        <f t="shared" si="1"/>
        <v>-15</v>
      </c>
      <c r="AI16" s="15"/>
      <c r="AJ16" s="15" t="s">
        <v>61</v>
      </c>
    </row>
    <row r="17" ht="15.75" customHeight="1">
      <c r="A17" s="15" t="s">
        <v>1056</v>
      </c>
      <c r="B17" s="16" t="s">
        <v>1112</v>
      </c>
      <c r="C17" s="15" t="s">
        <v>1113</v>
      </c>
      <c r="D17" s="15" t="s">
        <v>243</v>
      </c>
      <c r="E17" s="15" t="s">
        <v>1114</v>
      </c>
      <c r="F17" s="15" t="s">
        <v>1115</v>
      </c>
      <c r="G17" s="15" t="s">
        <v>1116</v>
      </c>
      <c r="H17" s="15" t="s">
        <v>1117</v>
      </c>
      <c r="I17" s="15" t="s">
        <v>33</v>
      </c>
      <c r="J17" s="15" t="s">
        <v>1118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ref="U17:U18" si="6">TEXT(D17-C17,"[mm]")/60</f>
        <v>16.33333333</v>
      </c>
      <c r="V17" s="15">
        <f t="shared" ref="V17:V18" si="7">TEXT(F17-E17,"[mm]")/60</f>
        <v>25.18333333</v>
      </c>
      <c r="W17" s="15">
        <f>TEXT(H17-G17,"[mm]")/60</f>
        <v>1.283333333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ref="AD17:AD18" si="8">AVERAGE(U17:AC17)</f>
        <v>14.26666667</v>
      </c>
      <c r="AE17" s="15" t="s">
        <v>34</v>
      </c>
      <c r="AF17" s="15" t="s">
        <v>35</v>
      </c>
      <c r="AG17" s="15" t="s">
        <v>35</v>
      </c>
      <c r="AH17" s="15">
        <f t="shared" si="1"/>
        <v>10</v>
      </c>
      <c r="AI17" s="15"/>
      <c r="AJ17" s="15" t="s">
        <v>61</v>
      </c>
    </row>
    <row r="18" ht="15.75" customHeight="1">
      <c r="A18" s="15" t="s">
        <v>1056</v>
      </c>
      <c r="B18" s="16" t="s">
        <v>1119</v>
      </c>
      <c r="C18" s="15" t="s">
        <v>1120</v>
      </c>
      <c r="D18" s="15" t="s">
        <v>1121</v>
      </c>
      <c r="E18" s="15" t="s">
        <v>1122</v>
      </c>
      <c r="F18" s="15" t="s">
        <v>1123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6"/>
        <v>10.28333333</v>
      </c>
      <c r="V18" s="15">
        <f t="shared" si="7"/>
        <v>0.01666666667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8"/>
        <v>5.15</v>
      </c>
      <c r="AE18" s="15" t="s">
        <v>34</v>
      </c>
      <c r="AF18" s="15" t="s">
        <v>35</v>
      </c>
      <c r="AG18" s="15" t="s">
        <v>35</v>
      </c>
      <c r="AH18" s="15">
        <f t="shared" si="1"/>
        <v>10</v>
      </c>
      <c r="AI18" s="15"/>
      <c r="AJ18" s="15" t="s">
        <v>61</v>
      </c>
    </row>
    <row r="19" ht="15.75" customHeight="1">
      <c r="A19" s="15" t="s">
        <v>1056</v>
      </c>
      <c r="B19" s="16" t="s">
        <v>1124</v>
      </c>
      <c r="C19" s="15" t="s">
        <v>1125</v>
      </c>
      <c r="D19" s="15" t="s">
        <v>33</v>
      </c>
      <c r="E19" s="15" t="s">
        <v>1126</v>
      </c>
      <c r="F19" s="15" t="s">
        <v>33</v>
      </c>
      <c r="G19" s="15" t="s">
        <v>1127</v>
      </c>
      <c r="H19" s="15" t="s">
        <v>33</v>
      </c>
      <c r="I19" s="15" t="s">
        <v>1128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20" t="s">
        <v>33</v>
      </c>
      <c r="V19" s="20" t="s">
        <v>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20" t="s">
        <v>33</v>
      </c>
      <c r="AE19" s="15" t="s">
        <v>35</v>
      </c>
      <c r="AF19" s="15" t="s">
        <v>35</v>
      </c>
      <c r="AG19" s="15" t="s">
        <v>35</v>
      </c>
      <c r="AH19" s="15">
        <f t="shared" si="1"/>
        <v>-15</v>
      </c>
      <c r="AI19" s="15"/>
      <c r="AJ19" s="15" t="s">
        <v>61</v>
      </c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>
        <f>AVERAGE(AD2:AD19)</f>
        <v>14.49708333</v>
      </c>
      <c r="AE20" s="22"/>
      <c r="AF20" s="22"/>
      <c r="AG20" s="22"/>
      <c r="AH20" s="22">
        <f>SUM(AH3:AH19)</f>
        <v>-5</v>
      </c>
      <c r="AI20" s="22"/>
      <c r="AJ2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</hyperlinks>
  <printOptions/>
  <pageMargins bottom="1.0" footer="0.0" header="0.0" left="0.75" right="0.75" top="1.0"/>
  <pageSetup orientation="landscape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5.0"/>
    <col customWidth="1" min="3" max="20" width="16.0"/>
    <col customWidth="1" min="21" max="36" width="14.0"/>
  </cols>
  <sheetData>
    <row r="1" ht="30.0" customHeight="1">
      <c r="A1" s="24" t="s">
        <v>0</v>
      </c>
      <c r="B1" s="24" t="s">
        <v>1</v>
      </c>
      <c r="C1" s="24" t="s">
        <v>2</v>
      </c>
      <c r="D1" s="24"/>
      <c r="E1" s="24" t="s">
        <v>3</v>
      </c>
      <c r="F1" s="24"/>
      <c r="G1" s="24" t="s">
        <v>4</v>
      </c>
      <c r="H1" s="24"/>
      <c r="I1" s="24" t="s">
        <v>5</v>
      </c>
      <c r="J1" s="24"/>
      <c r="K1" s="24" t="s">
        <v>6</v>
      </c>
      <c r="L1" s="24"/>
      <c r="M1" s="24" t="s">
        <v>7</v>
      </c>
      <c r="N1" s="24"/>
      <c r="O1" s="24" t="s">
        <v>8</v>
      </c>
      <c r="P1" s="24"/>
      <c r="Q1" s="24" t="s">
        <v>9</v>
      </c>
      <c r="R1" s="24"/>
      <c r="S1" s="24" t="s">
        <v>10</v>
      </c>
      <c r="T1" s="24"/>
      <c r="U1" s="24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25" t="s">
        <v>20</v>
      </c>
      <c r="AE1" s="24" t="s">
        <v>21</v>
      </c>
      <c r="AF1" s="24" t="s">
        <v>22</v>
      </c>
      <c r="AG1" s="24" t="s">
        <v>23</v>
      </c>
      <c r="AH1" s="24" t="s">
        <v>24</v>
      </c>
      <c r="AI1" s="24" t="s">
        <v>25</v>
      </c>
      <c r="AJ1" s="24" t="s">
        <v>26</v>
      </c>
    </row>
    <row r="2" ht="21.75" customHeight="1">
      <c r="A2" s="24" t="s">
        <v>0</v>
      </c>
      <c r="B2" s="24" t="s">
        <v>1</v>
      </c>
      <c r="C2" s="24" t="s">
        <v>27</v>
      </c>
      <c r="D2" s="24" t="s">
        <v>0</v>
      </c>
      <c r="E2" s="24" t="s">
        <v>27</v>
      </c>
      <c r="F2" s="24" t="s">
        <v>0</v>
      </c>
      <c r="G2" s="24" t="s">
        <v>27</v>
      </c>
      <c r="H2" s="24" t="s">
        <v>0</v>
      </c>
      <c r="I2" s="24" t="s">
        <v>27</v>
      </c>
      <c r="J2" s="24" t="s">
        <v>0</v>
      </c>
      <c r="K2" s="24" t="s">
        <v>27</v>
      </c>
      <c r="L2" s="24" t="s">
        <v>0</v>
      </c>
      <c r="M2" s="24" t="s">
        <v>27</v>
      </c>
      <c r="N2" s="24" t="s">
        <v>0</v>
      </c>
      <c r="O2" s="24" t="s">
        <v>27</v>
      </c>
      <c r="P2" s="24" t="s">
        <v>0</v>
      </c>
      <c r="Q2" s="24" t="s">
        <v>27</v>
      </c>
      <c r="R2" s="24" t="s">
        <v>0</v>
      </c>
      <c r="S2" s="24" t="s">
        <v>27</v>
      </c>
      <c r="T2" s="24" t="s">
        <v>0</v>
      </c>
      <c r="U2" s="24" t="s">
        <v>11</v>
      </c>
      <c r="V2" s="24"/>
      <c r="W2" s="24"/>
      <c r="X2" s="24"/>
      <c r="Y2" s="24"/>
      <c r="Z2" s="24"/>
      <c r="AA2" s="24"/>
      <c r="AB2" s="24"/>
      <c r="AC2" s="24"/>
      <c r="AD2" s="24"/>
      <c r="AE2" s="24" t="s">
        <v>21</v>
      </c>
      <c r="AF2" s="24" t="s">
        <v>22</v>
      </c>
      <c r="AG2" s="24" t="s">
        <v>23</v>
      </c>
      <c r="AH2" s="24" t="s">
        <v>24</v>
      </c>
      <c r="AI2" s="24" t="s">
        <v>25</v>
      </c>
      <c r="AJ2" s="24" t="s">
        <v>26</v>
      </c>
    </row>
    <row r="3" ht="15.75" customHeight="1">
      <c r="A3" s="26" t="s">
        <v>1129</v>
      </c>
      <c r="B3" s="27" t="s">
        <v>1130</v>
      </c>
      <c r="C3" s="26" t="s">
        <v>1131</v>
      </c>
      <c r="D3" s="26" t="s">
        <v>33</v>
      </c>
      <c r="E3" s="26" t="s">
        <v>33</v>
      </c>
      <c r="F3" s="26" t="s">
        <v>33</v>
      </c>
      <c r="G3" s="26" t="s">
        <v>33</v>
      </c>
      <c r="H3" s="26" t="s">
        <v>33</v>
      </c>
      <c r="I3" s="26" t="s">
        <v>33</v>
      </c>
      <c r="J3" s="26" t="s">
        <v>33</v>
      </c>
      <c r="K3" s="26" t="s">
        <v>33</v>
      </c>
      <c r="L3" s="26" t="s">
        <v>33</v>
      </c>
      <c r="M3" s="26" t="s">
        <v>33</v>
      </c>
      <c r="N3" s="26" t="s">
        <v>33</v>
      </c>
      <c r="O3" s="26" t="s">
        <v>33</v>
      </c>
      <c r="P3" s="26" t="s">
        <v>33</v>
      </c>
      <c r="Q3" s="26" t="s">
        <v>33</v>
      </c>
      <c r="R3" s="26" t="s">
        <v>33</v>
      </c>
      <c r="S3" s="26" t="s">
        <v>33</v>
      </c>
      <c r="T3" s="26" t="s">
        <v>33</v>
      </c>
      <c r="U3" s="28" t="s">
        <v>33</v>
      </c>
      <c r="V3" s="28" t="s">
        <v>33</v>
      </c>
      <c r="W3" s="29" t="s">
        <v>33</v>
      </c>
      <c r="X3" s="29" t="s">
        <v>33</v>
      </c>
      <c r="Y3" s="29" t="s">
        <v>33</v>
      </c>
      <c r="Z3" s="29" t="s">
        <v>33</v>
      </c>
      <c r="AA3" s="29" t="s">
        <v>33</v>
      </c>
      <c r="AB3" s="29" t="s">
        <v>33</v>
      </c>
      <c r="AC3" s="29" t="s">
        <v>33</v>
      </c>
      <c r="AD3" s="29" t="s">
        <v>33</v>
      </c>
      <c r="AE3" s="26" t="s">
        <v>35</v>
      </c>
      <c r="AF3" s="26" t="s">
        <v>35</v>
      </c>
      <c r="AG3" s="26" t="s">
        <v>35</v>
      </c>
      <c r="AH3" s="26">
        <f t="shared" ref="AH3:AH5" si="1">IF(AND(AE3="FALSE",AF3="FALSE",AG3="FALSE"),-15,IF(AE3="TRUE",10,IF(AF3="TRUE",5,IF(AG3="TRUE",-10,""))))</f>
        <v>-15</v>
      </c>
      <c r="AI3" s="26"/>
      <c r="AJ3" s="26" t="s">
        <v>61</v>
      </c>
    </row>
    <row r="4" ht="15.75" customHeight="1">
      <c r="A4" s="26" t="s">
        <v>1129</v>
      </c>
      <c r="B4" s="27" t="s">
        <v>1132</v>
      </c>
      <c r="C4" s="26" t="s">
        <v>1133</v>
      </c>
      <c r="D4" s="26" t="s">
        <v>33</v>
      </c>
      <c r="E4" s="26" t="s">
        <v>1134</v>
      </c>
      <c r="F4" s="26" t="s">
        <v>33</v>
      </c>
      <c r="G4" s="26" t="s">
        <v>1135</v>
      </c>
      <c r="H4" s="26" t="s">
        <v>33</v>
      </c>
      <c r="I4" s="26" t="s">
        <v>33</v>
      </c>
      <c r="J4" s="26" t="s">
        <v>33</v>
      </c>
      <c r="K4" s="26" t="s">
        <v>33</v>
      </c>
      <c r="L4" s="26" t="s">
        <v>33</v>
      </c>
      <c r="M4" s="26" t="s">
        <v>33</v>
      </c>
      <c r="N4" s="26" t="s">
        <v>33</v>
      </c>
      <c r="O4" s="26" t="s">
        <v>33</v>
      </c>
      <c r="P4" s="26" t="s">
        <v>33</v>
      </c>
      <c r="Q4" s="26" t="s">
        <v>33</v>
      </c>
      <c r="R4" s="26" t="s">
        <v>33</v>
      </c>
      <c r="S4" s="26" t="s">
        <v>33</v>
      </c>
      <c r="T4" s="26" t="s">
        <v>33</v>
      </c>
      <c r="U4" s="28" t="s">
        <v>33</v>
      </c>
      <c r="V4" s="28" t="s">
        <v>33</v>
      </c>
      <c r="W4" s="29" t="s">
        <v>33</v>
      </c>
      <c r="X4" s="29" t="s">
        <v>33</v>
      </c>
      <c r="Y4" s="29" t="s">
        <v>33</v>
      </c>
      <c r="Z4" s="29" t="s">
        <v>33</v>
      </c>
      <c r="AA4" s="29" t="s">
        <v>33</v>
      </c>
      <c r="AB4" s="29" t="s">
        <v>33</v>
      </c>
      <c r="AC4" s="29" t="s">
        <v>33</v>
      </c>
      <c r="AD4" s="29" t="s">
        <v>33</v>
      </c>
      <c r="AE4" s="26" t="s">
        <v>35</v>
      </c>
      <c r="AF4" s="26" t="s">
        <v>35</v>
      </c>
      <c r="AG4" s="26" t="s">
        <v>35</v>
      </c>
      <c r="AH4" s="26">
        <f t="shared" si="1"/>
        <v>-15</v>
      </c>
      <c r="AI4" s="26"/>
      <c r="AJ4" s="26" t="s">
        <v>61</v>
      </c>
    </row>
    <row r="5" ht="15.75" customHeight="1">
      <c r="A5" s="26" t="s">
        <v>1129</v>
      </c>
      <c r="B5" s="27" t="s">
        <v>1136</v>
      </c>
      <c r="C5" s="26" t="s">
        <v>1137</v>
      </c>
      <c r="D5" s="26" t="s">
        <v>33</v>
      </c>
      <c r="E5" s="26" t="s">
        <v>33</v>
      </c>
      <c r="F5" s="26" t="s">
        <v>33</v>
      </c>
      <c r="G5" s="26" t="s">
        <v>33</v>
      </c>
      <c r="H5" s="26" t="s">
        <v>33</v>
      </c>
      <c r="I5" s="26" t="s">
        <v>33</v>
      </c>
      <c r="J5" s="26" t="s">
        <v>33</v>
      </c>
      <c r="K5" s="26" t="s">
        <v>33</v>
      </c>
      <c r="L5" s="26" t="s">
        <v>33</v>
      </c>
      <c r="M5" s="26" t="s">
        <v>33</v>
      </c>
      <c r="N5" s="26" t="s">
        <v>33</v>
      </c>
      <c r="O5" s="26" t="s">
        <v>33</v>
      </c>
      <c r="P5" s="26" t="s">
        <v>33</v>
      </c>
      <c r="Q5" s="26" t="s">
        <v>33</v>
      </c>
      <c r="R5" s="26" t="s">
        <v>33</v>
      </c>
      <c r="S5" s="26" t="s">
        <v>33</v>
      </c>
      <c r="T5" s="26" t="s">
        <v>33</v>
      </c>
      <c r="U5" s="28" t="s">
        <v>33</v>
      </c>
      <c r="V5" s="28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29" t="s">
        <v>33</v>
      </c>
      <c r="AB5" s="29" t="s">
        <v>33</v>
      </c>
      <c r="AC5" s="29" t="s">
        <v>33</v>
      </c>
      <c r="AD5" s="29" t="s">
        <v>33</v>
      </c>
      <c r="AE5" s="26" t="s">
        <v>35</v>
      </c>
      <c r="AF5" s="26" t="s">
        <v>35</v>
      </c>
      <c r="AG5" s="26" t="s">
        <v>35</v>
      </c>
      <c r="AH5" s="26">
        <f t="shared" si="1"/>
        <v>-15</v>
      </c>
      <c r="AI5" s="26"/>
      <c r="AJ5" s="26" t="s">
        <v>61</v>
      </c>
    </row>
    <row r="6">
      <c r="AD6" s="30" t="s">
        <v>33</v>
      </c>
      <c r="AH6" s="21">
        <f>SUM(AH3:AH5)</f>
        <v>-45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B3"/>
    <hyperlink r:id="rId2" ref="B4"/>
    <hyperlink r:id="rId3" ref="B5"/>
  </hyperlinks>
  <printOptions/>
  <pageMargins bottom="1.0" footer="0.0" header="0.0" left="0.75" right="0.75" top="1.0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3.71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1138</v>
      </c>
      <c r="B3" s="16" t="s">
        <v>1139</v>
      </c>
      <c r="C3" s="15" t="s">
        <v>1140</v>
      </c>
      <c r="D3" s="15" t="s">
        <v>1141</v>
      </c>
      <c r="E3" s="15" t="s">
        <v>33</v>
      </c>
      <c r="F3" s="15" t="s">
        <v>1142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>TEXT(D3-C3,"[mm]")/60</f>
        <v>0.1333333333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34</v>
      </c>
      <c r="AF3" s="15" t="s">
        <v>35</v>
      </c>
      <c r="AG3" s="15" t="s">
        <v>35</v>
      </c>
      <c r="AH3" s="15">
        <f t="shared" ref="AH3:AH79" si="1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1138</v>
      </c>
      <c r="B4" s="16" t="s">
        <v>1143</v>
      </c>
      <c r="C4" s="15" t="s">
        <v>1144</v>
      </c>
      <c r="D4" s="15" t="s">
        <v>33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20" t="s">
        <v>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20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1138</v>
      </c>
      <c r="B5" s="16" t="s">
        <v>1145</v>
      </c>
      <c r="C5" s="15" t="s">
        <v>1146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1138</v>
      </c>
      <c r="B6" s="16" t="s">
        <v>1147</v>
      </c>
      <c r="C6" s="15" t="s">
        <v>1148</v>
      </c>
      <c r="D6" s="15" t="s">
        <v>1149</v>
      </c>
      <c r="E6" s="19">
        <v>46141.66736111111</v>
      </c>
      <c r="F6" s="19">
        <v>46142.7625</v>
      </c>
      <c r="G6" s="19">
        <v>46141.75069444445</v>
      </c>
      <c r="H6" s="19">
        <v>46142.76388888889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>TEXT(D6-C6,"[mm]")/60</f>
        <v>0.6333333333</v>
      </c>
      <c r="V6" s="15">
        <f>TEXT(F6-E6,"[mm]")/60</f>
        <v>26.28333333</v>
      </c>
      <c r="W6" s="15">
        <f>TEXT(H6-G6,"[mm]")/60</f>
        <v>24.31666667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>AVERAGE(U6:AC6)</f>
        <v>17.07777778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1138</v>
      </c>
      <c r="B7" s="16" t="s">
        <v>1150</v>
      </c>
      <c r="C7" s="15" t="s">
        <v>1151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20" t="s">
        <v>33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20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 ht="15.75" customHeight="1">
      <c r="A8" s="15" t="s">
        <v>1138</v>
      </c>
      <c r="B8" s="16" t="s">
        <v>1152</v>
      </c>
      <c r="C8" s="15" t="s">
        <v>1153</v>
      </c>
      <c r="D8" s="15" t="s">
        <v>1154</v>
      </c>
      <c r="E8" s="15" t="s">
        <v>33</v>
      </c>
      <c r="F8" s="15" t="s">
        <v>1155</v>
      </c>
      <c r="G8" s="15" t="s">
        <v>33</v>
      </c>
      <c r="H8" s="15" t="s">
        <v>1156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ref="U8:U10" si="2">TEXT(D8-C8,"[mm]")/60</f>
        <v>0.1666666667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ref="AD8:AD10" si="3">AVERAGE(U8:AC8)</f>
        <v>0.1666666667</v>
      </c>
      <c r="AE8" s="15" t="s">
        <v>34</v>
      </c>
      <c r="AF8" s="15" t="s">
        <v>35</v>
      </c>
      <c r="AG8" s="15" t="s">
        <v>35</v>
      </c>
      <c r="AH8" s="15">
        <f t="shared" si="1"/>
        <v>10</v>
      </c>
      <c r="AI8" s="15"/>
      <c r="AJ8" s="15" t="s">
        <v>61</v>
      </c>
    </row>
    <row r="9" ht="15.75" customHeight="1">
      <c r="A9" s="15" t="s">
        <v>1138</v>
      </c>
      <c r="B9" s="16" t="s">
        <v>1157</v>
      </c>
      <c r="C9" s="15" t="s">
        <v>1158</v>
      </c>
      <c r="D9" s="15" t="s">
        <v>1159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2"/>
        <v>0.3833333333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3"/>
        <v>0.3833333333</v>
      </c>
      <c r="AE9" s="15" t="s">
        <v>34</v>
      </c>
      <c r="AF9" s="15" t="s">
        <v>35</v>
      </c>
      <c r="AG9" s="15" t="s">
        <v>35</v>
      </c>
      <c r="AH9" s="15">
        <f t="shared" si="1"/>
        <v>10</v>
      </c>
      <c r="AI9" s="15"/>
      <c r="AJ9" s="15" t="s">
        <v>61</v>
      </c>
    </row>
    <row r="10" ht="15.75" customHeight="1">
      <c r="A10" s="15" t="s">
        <v>1138</v>
      </c>
      <c r="B10" s="16" t="s">
        <v>1160</v>
      </c>
      <c r="C10" s="15" t="s">
        <v>1161</v>
      </c>
      <c r="D10" s="15" t="s">
        <v>1162</v>
      </c>
      <c r="E10" s="15" t="s">
        <v>1163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si="2"/>
        <v>0.03333333333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si="3"/>
        <v>0.03333333333</v>
      </c>
      <c r="AE10" s="15" t="s">
        <v>34</v>
      </c>
      <c r="AF10" s="15" t="s">
        <v>35</v>
      </c>
      <c r="AG10" s="15" t="s">
        <v>35</v>
      </c>
      <c r="AH10" s="15">
        <f t="shared" si="1"/>
        <v>10</v>
      </c>
      <c r="AI10" s="15"/>
      <c r="AJ10" s="15" t="s">
        <v>61</v>
      </c>
    </row>
    <row r="11" ht="15.75" customHeight="1">
      <c r="A11" s="15" t="s">
        <v>1138</v>
      </c>
      <c r="B11" s="16" t="s">
        <v>1164</v>
      </c>
      <c r="C11" s="15" t="s">
        <v>1161</v>
      </c>
      <c r="D11" s="15" t="s">
        <v>33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20" t="s">
        <v>33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20" t="s">
        <v>33</v>
      </c>
      <c r="AE11" s="15" t="s">
        <v>35</v>
      </c>
      <c r="AF11" s="15" t="s">
        <v>35</v>
      </c>
      <c r="AG11" s="15" t="s">
        <v>35</v>
      </c>
      <c r="AH11" s="15">
        <f t="shared" si="1"/>
        <v>-15</v>
      </c>
      <c r="AI11" s="15"/>
      <c r="AJ11" s="15" t="s">
        <v>61</v>
      </c>
    </row>
    <row r="12" ht="15.75" customHeight="1">
      <c r="A12" s="15" t="s">
        <v>1138</v>
      </c>
      <c r="B12" s="16" t="s">
        <v>1165</v>
      </c>
      <c r="C12" s="15" t="s">
        <v>1166</v>
      </c>
      <c r="D12" s="15" t="s">
        <v>33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20" t="s">
        <v>33</v>
      </c>
      <c r="V12" s="20" t="s">
        <v>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20" t="s">
        <v>33</v>
      </c>
      <c r="AE12" s="15" t="s">
        <v>35</v>
      </c>
      <c r="AF12" s="15" t="s">
        <v>35</v>
      </c>
      <c r="AG12" s="15" t="s">
        <v>35</v>
      </c>
      <c r="AH12" s="15">
        <f t="shared" si="1"/>
        <v>-15</v>
      </c>
      <c r="AI12" s="15"/>
      <c r="AJ12" s="15" t="s">
        <v>61</v>
      </c>
    </row>
    <row r="13" ht="15.75" customHeight="1">
      <c r="A13" s="15" t="s">
        <v>1138</v>
      </c>
      <c r="B13" s="16" t="s">
        <v>1167</v>
      </c>
      <c r="C13" s="15" t="s">
        <v>1168</v>
      </c>
      <c r="D13" s="15" t="s">
        <v>1169</v>
      </c>
      <c r="E13" s="15" t="s">
        <v>1170</v>
      </c>
      <c r="F13" s="15" t="s">
        <v>33</v>
      </c>
      <c r="G13" s="15" t="s">
        <v>1171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>TEXT(D13-C13,"[mm]")/60</f>
        <v>0.1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>AVERAGE(U13:AC13)</f>
        <v>0.1</v>
      </c>
      <c r="AE13" s="15" t="s">
        <v>34</v>
      </c>
      <c r="AF13" s="15" t="s">
        <v>35</v>
      </c>
      <c r="AG13" s="15" t="s">
        <v>35</v>
      </c>
      <c r="AH13" s="15">
        <f t="shared" si="1"/>
        <v>10</v>
      </c>
      <c r="AI13" s="15"/>
      <c r="AJ13" s="15" t="s">
        <v>61</v>
      </c>
    </row>
    <row r="14" ht="15.75" customHeight="1">
      <c r="A14" s="15" t="s">
        <v>1138</v>
      </c>
      <c r="B14" s="16" t="s">
        <v>1172</v>
      </c>
      <c r="C14" s="15" t="s">
        <v>1173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20" t="s">
        <v>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20" t="s">
        <v>33</v>
      </c>
      <c r="AE14" s="15" t="s">
        <v>35</v>
      </c>
      <c r="AF14" s="15" t="s">
        <v>35</v>
      </c>
      <c r="AG14" s="15" t="s">
        <v>35</v>
      </c>
      <c r="AH14" s="15">
        <f t="shared" si="1"/>
        <v>-15</v>
      </c>
      <c r="AI14" s="15"/>
      <c r="AJ14" s="15" t="s">
        <v>61</v>
      </c>
    </row>
    <row r="15" ht="15.75" customHeight="1">
      <c r="A15" s="15" t="s">
        <v>1138</v>
      </c>
      <c r="B15" s="16" t="s">
        <v>1174</v>
      </c>
      <c r="C15" s="15" t="s">
        <v>1175</v>
      </c>
      <c r="D15" s="15" t="s">
        <v>1176</v>
      </c>
      <c r="E15" s="15" t="s">
        <v>1177</v>
      </c>
      <c r="F15" s="15" t="s">
        <v>1178</v>
      </c>
      <c r="G15" s="15" t="s">
        <v>1179</v>
      </c>
      <c r="H15" s="15" t="s">
        <v>1180</v>
      </c>
      <c r="I15" s="15" t="s">
        <v>1181</v>
      </c>
      <c r="J15" s="15" t="s">
        <v>1182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>TEXT(D15-C15,"[mm]")/60</f>
        <v>0.1</v>
      </c>
      <c r="V15" s="15">
        <f>TEXT(F15-E15,"[mm]")/60</f>
        <v>3.266666667</v>
      </c>
      <c r="W15" s="15">
        <f>TEXT(H15-G15,"[mm]")/60</f>
        <v>0.06666666667</v>
      </c>
      <c r="X15" s="15">
        <f>TEXT(J15-I15,"[mm]")/60</f>
        <v>48.95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>AVERAGE(U15:AC15)</f>
        <v>13.09583333</v>
      </c>
      <c r="AE15" s="15" t="s">
        <v>34</v>
      </c>
      <c r="AF15" s="15" t="s">
        <v>35</v>
      </c>
      <c r="AG15" s="15" t="s">
        <v>35</v>
      </c>
      <c r="AH15" s="15">
        <f t="shared" si="1"/>
        <v>10</v>
      </c>
      <c r="AI15" s="15"/>
      <c r="AJ15" s="15" t="s">
        <v>61</v>
      </c>
    </row>
    <row r="16" ht="15.75" customHeight="1">
      <c r="A16" s="15" t="s">
        <v>1138</v>
      </c>
      <c r="B16" s="16" t="s">
        <v>1183</v>
      </c>
      <c r="C16" s="15" t="s">
        <v>1184</v>
      </c>
      <c r="D16" s="15" t="s">
        <v>33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20" t="s">
        <v>33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20" t="s">
        <v>33</v>
      </c>
      <c r="AE16" s="15" t="s">
        <v>35</v>
      </c>
      <c r="AF16" s="15" t="s">
        <v>35</v>
      </c>
      <c r="AG16" s="15" t="s">
        <v>35</v>
      </c>
      <c r="AH16" s="15">
        <f t="shared" si="1"/>
        <v>-15</v>
      </c>
      <c r="AI16" s="15"/>
      <c r="AJ16" s="15" t="s">
        <v>61</v>
      </c>
    </row>
    <row r="17" ht="15.75" customHeight="1">
      <c r="A17" s="15" t="s">
        <v>1138</v>
      </c>
      <c r="B17" s="16" t="s">
        <v>1185</v>
      </c>
      <c r="C17" s="15" t="s">
        <v>1186</v>
      </c>
      <c r="D17" s="15" t="s">
        <v>33</v>
      </c>
      <c r="E17" s="15" t="s">
        <v>1187</v>
      </c>
      <c r="F17" s="15" t="s">
        <v>33</v>
      </c>
      <c r="G17" s="15" t="s">
        <v>1188</v>
      </c>
      <c r="H17" s="15" t="s">
        <v>33</v>
      </c>
      <c r="I17" s="15" t="s">
        <v>1189</v>
      </c>
      <c r="J17" s="15" t="s">
        <v>33</v>
      </c>
      <c r="K17" s="15" t="s">
        <v>1190</v>
      </c>
      <c r="L17" s="15" t="s">
        <v>33</v>
      </c>
      <c r="M17" s="15" t="s">
        <v>1191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20" t="s">
        <v>33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20" t="s">
        <v>33</v>
      </c>
      <c r="AE17" s="15" t="s">
        <v>35</v>
      </c>
      <c r="AF17" s="15" t="s">
        <v>35</v>
      </c>
      <c r="AG17" s="15" t="s">
        <v>35</v>
      </c>
      <c r="AH17" s="15">
        <f t="shared" si="1"/>
        <v>-15</v>
      </c>
      <c r="AI17" s="15"/>
      <c r="AJ17" s="15" t="s">
        <v>61</v>
      </c>
    </row>
    <row r="18" ht="15.75" customHeight="1">
      <c r="A18" s="15" t="s">
        <v>1138</v>
      </c>
      <c r="B18" s="16" t="s">
        <v>1192</v>
      </c>
      <c r="C18" s="15" t="s">
        <v>1193</v>
      </c>
      <c r="D18" s="15" t="s">
        <v>1194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ref="U18:U23" si="4">TEXT(D18-C18,"[mm]")/60</f>
        <v>0.15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ref="AD18:AD23" si="5">AVERAGE(U18:AC18)</f>
        <v>0.15</v>
      </c>
      <c r="AE18" s="15" t="s">
        <v>34</v>
      </c>
      <c r="AF18" s="15" t="s">
        <v>35</v>
      </c>
      <c r="AG18" s="15" t="s">
        <v>35</v>
      </c>
      <c r="AH18" s="15">
        <f t="shared" si="1"/>
        <v>10</v>
      </c>
      <c r="AI18" s="15"/>
      <c r="AJ18" s="15" t="s">
        <v>61</v>
      </c>
    </row>
    <row r="19" ht="15.75" customHeight="1">
      <c r="A19" s="15" t="s">
        <v>1138</v>
      </c>
      <c r="B19" s="16" t="s">
        <v>1195</v>
      </c>
      <c r="C19" s="15" t="s">
        <v>1196</v>
      </c>
      <c r="D19" s="15" t="s">
        <v>1197</v>
      </c>
      <c r="E19" s="15" t="s">
        <v>1198</v>
      </c>
      <c r="F19" s="15" t="s">
        <v>1199</v>
      </c>
      <c r="G19" s="15" t="s">
        <v>1200</v>
      </c>
      <c r="H19" s="15" t="s">
        <v>1201</v>
      </c>
      <c r="I19" s="15" t="s">
        <v>33</v>
      </c>
      <c r="J19" s="15" t="s">
        <v>1202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4"/>
        <v>0.1333333333</v>
      </c>
      <c r="V19" s="15">
        <f>TEXT(F19-E19,"[mm]")/60</f>
        <v>2.1</v>
      </c>
      <c r="W19" s="15">
        <f>TEXT(H19-G19,"[mm]")/60</f>
        <v>0.1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si="5"/>
        <v>0.7777777778</v>
      </c>
      <c r="AE19" s="15" t="s">
        <v>34</v>
      </c>
      <c r="AF19" s="15" t="s">
        <v>35</v>
      </c>
      <c r="AG19" s="15" t="s">
        <v>35</v>
      </c>
      <c r="AH19" s="15">
        <f t="shared" si="1"/>
        <v>10</v>
      </c>
      <c r="AI19" s="15"/>
      <c r="AJ19" s="15" t="s">
        <v>61</v>
      </c>
    </row>
    <row r="20" ht="15.75" customHeight="1">
      <c r="A20" s="15" t="s">
        <v>1138</v>
      </c>
      <c r="B20" s="16" t="s">
        <v>1203</v>
      </c>
      <c r="C20" s="15" t="s">
        <v>1204</v>
      </c>
      <c r="D20" s="15" t="s">
        <v>267</v>
      </c>
      <c r="E20" s="15" t="s">
        <v>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4"/>
        <v>0.2166666667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5"/>
        <v>0.2166666667</v>
      </c>
      <c r="AE20" s="15" t="s">
        <v>34</v>
      </c>
      <c r="AF20" s="15" t="s">
        <v>35</v>
      </c>
      <c r="AG20" s="15" t="s">
        <v>35</v>
      </c>
      <c r="AH20" s="15">
        <f t="shared" si="1"/>
        <v>10</v>
      </c>
      <c r="AI20" s="15"/>
      <c r="AJ20" s="15" t="s">
        <v>61</v>
      </c>
    </row>
    <row r="21" ht="15.75" customHeight="1">
      <c r="A21" s="15" t="s">
        <v>1138</v>
      </c>
      <c r="B21" s="16" t="s">
        <v>1205</v>
      </c>
      <c r="C21" s="15" t="s">
        <v>1206</v>
      </c>
      <c r="D21" s="15" t="s">
        <v>1207</v>
      </c>
      <c r="E21" s="15" t="s">
        <v>1208</v>
      </c>
      <c r="F21" s="15" t="s">
        <v>1209</v>
      </c>
      <c r="G21" s="15" t="s">
        <v>1210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>
        <f t="shared" si="4"/>
        <v>0.03333333333</v>
      </c>
      <c r="V21" s="15">
        <f t="shared" ref="V21:V23" si="6">TEXT(F21-E21,"[mm]")/60</f>
        <v>155.15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15">
        <f t="shared" si="5"/>
        <v>77.59166667</v>
      </c>
      <c r="AE21" s="15" t="s">
        <v>34</v>
      </c>
      <c r="AF21" s="15" t="s">
        <v>35</v>
      </c>
      <c r="AG21" s="15" t="s">
        <v>35</v>
      </c>
      <c r="AH21" s="15">
        <f t="shared" si="1"/>
        <v>10</v>
      </c>
      <c r="AI21" s="15"/>
      <c r="AJ21" s="15" t="s">
        <v>61</v>
      </c>
    </row>
    <row r="22" ht="15.75" customHeight="1">
      <c r="A22" s="15" t="s">
        <v>1138</v>
      </c>
      <c r="B22" s="16" t="s">
        <v>1211</v>
      </c>
      <c r="C22" s="15" t="s">
        <v>1212</v>
      </c>
      <c r="D22" s="15" t="s">
        <v>1213</v>
      </c>
      <c r="E22" s="19">
        <v>46139.586805555555</v>
      </c>
      <c r="F22" s="19">
        <v>46139.59861111111</v>
      </c>
      <c r="G22" s="15" t="s">
        <v>1214</v>
      </c>
      <c r="H22" s="15" t="s">
        <v>1215</v>
      </c>
      <c r="I22" s="15" t="s">
        <v>604</v>
      </c>
      <c r="J22" s="15" t="s">
        <v>1216</v>
      </c>
      <c r="K22" s="15" t="s">
        <v>266</v>
      </c>
      <c r="L22" s="15" t="s">
        <v>33</v>
      </c>
      <c r="M22" s="15" t="s">
        <v>1217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si="4"/>
        <v>0.1833333333</v>
      </c>
      <c r="V22" s="15">
        <f t="shared" si="6"/>
        <v>0.2833333333</v>
      </c>
      <c r="W22" s="15">
        <f t="shared" ref="W22:W23" si="7">TEXT(H22-G22,"[mm]")/60</f>
        <v>2.05</v>
      </c>
      <c r="X22" s="15">
        <f t="shared" ref="X22:X23" si="8">TEXT(J22-I22,"[mm]")/60</f>
        <v>4.016666667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 t="shared" si="5"/>
        <v>1.633333333</v>
      </c>
      <c r="AE22" s="15" t="s">
        <v>34</v>
      </c>
      <c r="AF22" s="15" t="s">
        <v>35</v>
      </c>
      <c r="AG22" s="15" t="s">
        <v>35</v>
      </c>
      <c r="AH22" s="15">
        <f t="shared" si="1"/>
        <v>10</v>
      </c>
      <c r="AI22" s="15"/>
      <c r="AJ22" s="15" t="s">
        <v>61</v>
      </c>
    </row>
    <row r="23" ht="15.75" customHeight="1">
      <c r="A23" s="15" t="s">
        <v>1138</v>
      </c>
      <c r="B23" s="16" t="s">
        <v>1218</v>
      </c>
      <c r="C23" s="15" t="s">
        <v>1219</v>
      </c>
      <c r="D23" s="15" t="s">
        <v>1220</v>
      </c>
      <c r="E23" s="15" t="s">
        <v>1221</v>
      </c>
      <c r="F23" s="15" t="s">
        <v>1222</v>
      </c>
      <c r="G23" s="15" t="s">
        <v>1223</v>
      </c>
      <c r="H23" s="15" t="s">
        <v>1224</v>
      </c>
      <c r="I23" s="15" t="s">
        <v>1225</v>
      </c>
      <c r="J23" s="15" t="s">
        <v>1226</v>
      </c>
      <c r="K23" s="15" t="s">
        <v>1227</v>
      </c>
      <c r="L23" s="15" t="s">
        <v>1228</v>
      </c>
      <c r="M23" s="15" t="s">
        <v>1229</v>
      </c>
      <c r="N23" s="15" t="s">
        <v>1230</v>
      </c>
      <c r="O23" s="15" t="s">
        <v>1231</v>
      </c>
      <c r="P23" s="15" t="s">
        <v>33</v>
      </c>
      <c r="Q23" s="15" t="s">
        <v>1232</v>
      </c>
      <c r="R23" s="15" t="s">
        <v>33</v>
      </c>
      <c r="S23" s="15" t="s">
        <v>33</v>
      </c>
      <c r="T23" s="15" t="s">
        <v>33</v>
      </c>
      <c r="U23" s="15">
        <f t="shared" si="4"/>
        <v>0.06666666667</v>
      </c>
      <c r="V23" s="15">
        <f t="shared" si="6"/>
        <v>0.2666666667</v>
      </c>
      <c r="W23" s="15">
        <f t="shared" si="7"/>
        <v>1.066666667</v>
      </c>
      <c r="X23" s="15">
        <f t="shared" si="8"/>
        <v>0.05</v>
      </c>
      <c r="Y23" s="15">
        <f>TEXT(L23-K23,"[mm]")/60</f>
        <v>0.7</v>
      </c>
      <c r="Z23" s="15">
        <f>TEXT(N23-M23,"[mm]")/60</f>
        <v>28.9</v>
      </c>
      <c r="AA23" s="20" t="s">
        <v>33</v>
      </c>
      <c r="AB23" s="20" t="s">
        <v>33</v>
      </c>
      <c r="AC23" s="20" t="s">
        <v>33</v>
      </c>
      <c r="AD23" s="15">
        <f t="shared" si="5"/>
        <v>5.175</v>
      </c>
      <c r="AE23" s="15" t="s">
        <v>34</v>
      </c>
      <c r="AF23" s="15" t="s">
        <v>35</v>
      </c>
      <c r="AG23" s="15" t="s">
        <v>35</v>
      </c>
      <c r="AH23" s="15">
        <f t="shared" si="1"/>
        <v>10</v>
      </c>
      <c r="AI23" s="15"/>
      <c r="AJ23" s="15" t="s">
        <v>61</v>
      </c>
    </row>
    <row r="24" ht="15.75" customHeight="1">
      <c r="A24" s="15" t="s">
        <v>1138</v>
      </c>
      <c r="B24" s="16" t="s">
        <v>1233</v>
      </c>
      <c r="C24" s="15" t="s">
        <v>1234</v>
      </c>
      <c r="D24" s="15" t="s">
        <v>33</v>
      </c>
      <c r="E24" s="15" t="s">
        <v>33</v>
      </c>
      <c r="F24" s="15" t="s">
        <v>33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20" t="s">
        <v>33</v>
      </c>
      <c r="V24" s="20" t="s">
        <v>33</v>
      </c>
      <c r="W24" s="20" t="s">
        <v>33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20" t="s">
        <v>33</v>
      </c>
      <c r="AE24" s="15" t="s">
        <v>35</v>
      </c>
      <c r="AF24" s="15" t="s">
        <v>35</v>
      </c>
      <c r="AG24" s="15" t="s">
        <v>35</v>
      </c>
      <c r="AH24" s="15">
        <f t="shared" si="1"/>
        <v>-15</v>
      </c>
      <c r="AI24" s="15"/>
      <c r="AJ24" s="15" t="s">
        <v>61</v>
      </c>
    </row>
    <row r="25" ht="15.75" customHeight="1">
      <c r="A25" s="15" t="s">
        <v>1138</v>
      </c>
      <c r="B25" s="16" t="s">
        <v>1235</v>
      </c>
      <c r="C25" s="15" t="s">
        <v>1236</v>
      </c>
      <c r="D25" s="15" t="s">
        <v>1237</v>
      </c>
      <c r="E25" s="15" t="s">
        <v>1238</v>
      </c>
      <c r="F25" s="15" t="s">
        <v>1239</v>
      </c>
      <c r="G25" s="15" t="s">
        <v>1240</v>
      </c>
      <c r="H25" s="15" t="s">
        <v>33</v>
      </c>
      <c r="I25" s="15" t="s">
        <v>1241</v>
      </c>
      <c r="J25" s="15" t="s">
        <v>33</v>
      </c>
      <c r="K25" s="15" t="s">
        <v>1242</v>
      </c>
      <c r="L25" s="15" t="s">
        <v>33</v>
      </c>
      <c r="M25" s="15" t="s">
        <v>595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ref="U25:U27" si="9">TEXT(D25-C25,"[mm]")/60</f>
        <v>0.1333333333</v>
      </c>
      <c r="V25" s="15">
        <f>TEXT(F25-E25,"[mm]")/60</f>
        <v>0.2333333333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ref="AD25:AD27" si="10">AVERAGE(U25:AC25)</f>
        <v>0.1833333333</v>
      </c>
      <c r="AE25" s="15" t="s">
        <v>34</v>
      </c>
      <c r="AF25" s="15" t="s">
        <v>35</v>
      </c>
      <c r="AG25" s="15" t="s">
        <v>35</v>
      </c>
      <c r="AH25" s="15">
        <f t="shared" si="1"/>
        <v>10</v>
      </c>
      <c r="AI25" s="15"/>
      <c r="AJ25" s="15" t="s">
        <v>61</v>
      </c>
    </row>
    <row r="26" ht="15.75" customHeight="1">
      <c r="A26" s="15" t="s">
        <v>1138</v>
      </c>
      <c r="B26" s="16" t="s">
        <v>1243</v>
      </c>
      <c r="C26" s="15" t="s">
        <v>1244</v>
      </c>
      <c r="D26" s="15" t="s">
        <v>1245</v>
      </c>
      <c r="E26" s="15" t="s">
        <v>33</v>
      </c>
      <c r="F26" s="15" t="s">
        <v>1246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9"/>
        <v>0.05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15">
        <f t="shared" si="10"/>
        <v>0.05</v>
      </c>
      <c r="AE26" s="15" t="s">
        <v>34</v>
      </c>
      <c r="AF26" s="15" t="s">
        <v>35</v>
      </c>
      <c r="AG26" s="15" t="s">
        <v>35</v>
      </c>
      <c r="AH26" s="15">
        <f t="shared" si="1"/>
        <v>10</v>
      </c>
      <c r="AI26" s="15"/>
      <c r="AJ26" s="15" t="s">
        <v>61</v>
      </c>
    </row>
    <row r="27" ht="15.75" customHeight="1">
      <c r="A27" s="15" t="s">
        <v>1138</v>
      </c>
      <c r="B27" s="16" t="s">
        <v>1247</v>
      </c>
      <c r="C27" s="15" t="s">
        <v>1248</v>
      </c>
      <c r="D27" s="15" t="s">
        <v>1249</v>
      </c>
      <c r="E27" s="15" t="s">
        <v>1250</v>
      </c>
      <c r="F27" s="15" t="s">
        <v>1251</v>
      </c>
      <c r="G27" s="15" t="s">
        <v>1252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9"/>
        <v>0.3333333333</v>
      </c>
      <c r="V27" s="15">
        <f>TEXT(F27-E27,"[mm]")/60</f>
        <v>30.28333333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 t="shared" si="10"/>
        <v>15.30833333</v>
      </c>
      <c r="AE27" s="15" t="s">
        <v>34</v>
      </c>
      <c r="AF27" s="15" t="s">
        <v>35</v>
      </c>
      <c r="AG27" s="15" t="s">
        <v>35</v>
      </c>
      <c r="AH27" s="15">
        <f t="shared" si="1"/>
        <v>10</v>
      </c>
      <c r="AI27" s="15"/>
      <c r="AJ27" s="15" t="s">
        <v>61</v>
      </c>
    </row>
    <row r="28" ht="15.75" customHeight="1">
      <c r="A28" s="15" t="s">
        <v>1138</v>
      </c>
      <c r="B28" s="16" t="s">
        <v>1253</v>
      </c>
      <c r="C28" s="15" t="s">
        <v>1254</v>
      </c>
      <c r="D28" s="15" t="s">
        <v>33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20" t="s">
        <v>33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20" t="s">
        <v>33</v>
      </c>
      <c r="AE28" s="15" t="s">
        <v>35</v>
      </c>
      <c r="AF28" s="15" t="s">
        <v>35</v>
      </c>
      <c r="AG28" s="15" t="s">
        <v>35</v>
      </c>
      <c r="AH28" s="15">
        <f t="shared" si="1"/>
        <v>-15</v>
      </c>
      <c r="AI28" s="15"/>
      <c r="AJ28" s="15" t="s">
        <v>61</v>
      </c>
    </row>
    <row r="29" ht="15.75" customHeight="1">
      <c r="A29" s="15" t="s">
        <v>1138</v>
      </c>
      <c r="B29" s="16" t="s">
        <v>1255</v>
      </c>
      <c r="C29" s="15" t="s">
        <v>1256</v>
      </c>
      <c r="D29" s="15" t="s">
        <v>1257</v>
      </c>
      <c r="E29" s="15" t="s">
        <v>1258</v>
      </c>
      <c r="F29" s="15" t="s">
        <v>1259</v>
      </c>
      <c r="G29" s="15" t="s">
        <v>1260</v>
      </c>
      <c r="H29" s="15" t="s">
        <v>33</v>
      </c>
      <c r="I29" s="15" t="s">
        <v>1261</v>
      </c>
      <c r="J29" s="15" t="s">
        <v>33</v>
      </c>
      <c r="K29" s="15" t="s">
        <v>1262</v>
      </c>
      <c r="L29" s="15" t="s">
        <v>33</v>
      </c>
      <c r="M29" s="15" t="s">
        <v>1263</v>
      </c>
      <c r="N29" s="15" t="s">
        <v>33</v>
      </c>
      <c r="O29" s="15" t="s">
        <v>1264</v>
      </c>
      <c r="P29" s="15" t="s">
        <v>33</v>
      </c>
      <c r="Q29" s="15" t="s">
        <v>1265</v>
      </c>
      <c r="R29" s="15" t="s">
        <v>33</v>
      </c>
      <c r="S29" s="15" t="s">
        <v>1266</v>
      </c>
      <c r="T29" s="15" t="s">
        <v>33</v>
      </c>
      <c r="U29" s="15">
        <f t="shared" ref="U29:U32" si="11">TEXT(D29-C29,"[mm]")/60</f>
        <v>2.316666667</v>
      </c>
      <c r="V29" s="15">
        <f t="shared" ref="V29:V32" si="12">TEXT(F29-E29,"[mm]")/60</f>
        <v>22.78333333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 t="shared" ref="AD29:AD32" si="13">AVERAGE(U29:AC29)</f>
        <v>12.55</v>
      </c>
      <c r="AE29" s="15" t="s">
        <v>34</v>
      </c>
      <c r="AF29" s="15" t="s">
        <v>35</v>
      </c>
      <c r="AG29" s="15" t="s">
        <v>35</v>
      </c>
      <c r="AH29" s="15">
        <f t="shared" si="1"/>
        <v>10</v>
      </c>
      <c r="AI29" s="15"/>
      <c r="AJ29" s="15" t="s">
        <v>61</v>
      </c>
    </row>
    <row r="30" ht="15.75" customHeight="1">
      <c r="A30" s="15" t="s">
        <v>1138</v>
      </c>
      <c r="B30" s="16" t="s">
        <v>1267</v>
      </c>
      <c r="C30" s="15" t="s">
        <v>1268</v>
      </c>
      <c r="D30" s="15" t="s">
        <v>1269</v>
      </c>
      <c r="E30" s="15" t="s">
        <v>1270</v>
      </c>
      <c r="F30" s="15" t="s">
        <v>1271</v>
      </c>
      <c r="G30" s="15" t="s">
        <v>80</v>
      </c>
      <c r="H30" s="15" t="s">
        <v>1272</v>
      </c>
      <c r="I30" s="15" t="s">
        <v>1273</v>
      </c>
      <c r="J30" s="15" t="s">
        <v>1274</v>
      </c>
      <c r="K30" s="15" t="s">
        <v>1275</v>
      </c>
      <c r="L30" s="15" t="s">
        <v>1276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si="11"/>
        <v>0.2333333333</v>
      </c>
      <c r="V30" s="15">
        <f t="shared" si="12"/>
        <v>2.216666667</v>
      </c>
      <c r="W30" s="15">
        <f>TEXT(H30-G30,"[mm]")/60</f>
        <v>4.2</v>
      </c>
      <c r="X30" s="15">
        <f>TEXT(J30-I30,"[mm]")/60</f>
        <v>0.08333333333</v>
      </c>
      <c r="Y30" s="15">
        <f>TEXT(L30-K30,"[mm]")/60</f>
        <v>86.75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 t="shared" si="13"/>
        <v>18.69666667</v>
      </c>
      <c r="AE30" s="15" t="s">
        <v>34</v>
      </c>
      <c r="AF30" s="15" t="s">
        <v>35</v>
      </c>
      <c r="AG30" s="15" t="s">
        <v>35</v>
      </c>
      <c r="AH30" s="15">
        <f t="shared" si="1"/>
        <v>10</v>
      </c>
      <c r="AI30" s="15"/>
      <c r="AJ30" s="15" t="s">
        <v>61</v>
      </c>
    </row>
    <row r="31" ht="15.75" customHeight="1">
      <c r="A31" s="15" t="s">
        <v>1138</v>
      </c>
      <c r="B31" s="16" t="s">
        <v>1277</v>
      </c>
      <c r="C31" s="15" t="s">
        <v>1278</v>
      </c>
      <c r="D31" s="15" t="s">
        <v>1279</v>
      </c>
      <c r="E31" s="15" t="s">
        <v>1280</v>
      </c>
      <c r="F31" s="15" t="s">
        <v>1281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11"/>
        <v>0.2</v>
      </c>
      <c r="V31" s="15">
        <f t="shared" si="12"/>
        <v>0.4333333333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si="13"/>
        <v>0.3166666667</v>
      </c>
      <c r="AE31" s="15" t="s">
        <v>34</v>
      </c>
      <c r="AF31" s="15" t="s">
        <v>35</v>
      </c>
      <c r="AG31" s="15" t="s">
        <v>35</v>
      </c>
      <c r="AH31" s="15">
        <f t="shared" si="1"/>
        <v>10</v>
      </c>
      <c r="AI31" s="15"/>
      <c r="AJ31" s="15" t="s">
        <v>61</v>
      </c>
    </row>
    <row r="32" ht="15.75" customHeight="1">
      <c r="A32" s="15" t="s">
        <v>1138</v>
      </c>
      <c r="B32" s="16" t="s">
        <v>1282</v>
      </c>
      <c r="C32" s="15" t="s">
        <v>1283</v>
      </c>
      <c r="D32" s="15" t="s">
        <v>1284</v>
      </c>
      <c r="E32" s="15" t="s">
        <v>1285</v>
      </c>
      <c r="F32" s="15" t="s">
        <v>1286</v>
      </c>
      <c r="G32" s="15" t="s">
        <v>33</v>
      </c>
      <c r="H32" s="15" t="s">
        <v>1287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11"/>
        <v>5.05</v>
      </c>
      <c r="V32" s="15">
        <f t="shared" si="12"/>
        <v>7.016666667</v>
      </c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13"/>
        <v>6.033333333</v>
      </c>
      <c r="AE32" s="15" t="s">
        <v>34</v>
      </c>
      <c r="AF32" s="15" t="s">
        <v>35</v>
      </c>
      <c r="AG32" s="15" t="s">
        <v>35</v>
      </c>
      <c r="AH32" s="15">
        <f t="shared" si="1"/>
        <v>10</v>
      </c>
      <c r="AI32" s="15"/>
      <c r="AJ32" s="15" t="s">
        <v>61</v>
      </c>
    </row>
    <row r="33" ht="15.75" customHeight="1">
      <c r="A33" s="15" t="s">
        <v>1138</v>
      </c>
      <c r="B33" s="16" t="s">
        <v>1288</v>
      </c>
      <c r="C33" s="15" t="s">
        <v>1289</v>
      </c>
      <c r="D33" s="15" t="s">
        <v>33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20" t="s">
        <v>33</v>
      </c>
      <c r="V33" s="20" t="s">
        <v>33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20" t="s">
        <v>33</v>
      </c>
      <c r="AE33" s="15" t="s">
        <v>35</v>
      </c>
      <c r="AF33" s="15" t="s">
        <v>35</v>
      </c>
      <c r="AG33" s="15" t="s">
        <v>35</v>
      </c>
      <c r="AH33" s="15">
        <f t="shared" si="1"/>
        <v>-15</v>
      </c>
      <c r="AI33" s="15"/>
      <c r="AJ33" s="15" t="s">
        <v>61</v>
      </c>
    </row>
    <row r="34" ht="15.75" customHeight="1">
      <c r="A34" s="15" t="s">
        <v>1138</v>
      </c>
      <c r="B34" s="16" t="s">
        <v>1290</v>
      </c>
      <c r="C34" s="15" t="s">
        <v>1291</v>
      </c>
      <c r="D34" s="15" t="s">
        <v>33</v>
      </c>
      <c r="E34" s="15" t="s">
        <v>1292</v>
      </c>
      <c r="F34" s="15" t="s">
        <v>33</v>
      </c>
      <c r="G34" s="15" t="s">
        <v>33</v>
      </c>
      <c r="H34" s="15" t="s">
        <v>33</v>
      </c>
      <c r="I34" s="15" t="s">
        <v>33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20" t="s">
        <v>33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20" t="s">
        <v>33</v>
      </c>
      <c r="AE34" s="15" t="s">
        <v>35</v>
      </c>
      <c r="AF34" s="15" t="s">
        <v>35</v>
      </c>
      <c r="AG34" s="15" t="s">
        <v>35</v>
      </c>
      <c r="AH34" s="15">
        <f t="shared" si="1"/>
        <v>-15</v>
      </c>
      <c r="AI34" s="15"/>
      <c r="AJ34" s="15" t="s">
        <v>61</v>
      </c>
    </row>
    <row r="35" ht="15.75" customHeight="1">
      <c r="A35" s="15" t="s">
        <v>1138</v>
      </c>
      <c r="B35" s="16" t="s">
        <v>1293</v>
      </c>
      <c r="C35" s="15" t="s">
        <v>1294</v>
      </c>
      <c r="D35" s="15" t="s">
        <v>33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20" t="s">
        <v>33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20" t="s">
        <v>33</v>
      </c>
      <c r="AE35" s="15" t="s">
        <v>35</v>
      </c>
      <c r="AF35" s="15" t="s">
        <v>35</v>
      </c>
      <c r="AG35" s="15" t="s">
        <v>35</v>
      </c>
      <c r="AH35" s="15">
        <f t="shared" si="1"/>
        <v>-15</v>
      </c>
      <c r="AI35" s="15"/>
      <c r="AJ35" s="15" t="s">
        <v>61</v>
      </c>
    </row>
    <row r="36" ht="15.75" customHeight="1">
      <c r="A36" s="15" t="s">
        <v>1138</v>
      </c>
      <c r="B36" s="16" t="s">
        <v>1295</v>
      </c>
      <c r="C36" s="15" t="s">
        <v>1296</v>
      </c>
      <c r="D36" s="15" t="s">
        <v>1297</v>
      </c>
      <c r="E36" s="15" t="s">
        <v>1298</v>
      </c>
      <c r="F36" s="15" t="s">
        <v>1299</v>
      </c>
      <c r="G36" s="15" t="s">
        <v>33</v>
      </c>
      <c r="H36" s="15" t="s">
        <v>33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ref="U36:U43" si="14">TEXT(D36-C36,"[mm]")/60</f>
        <v>0.2666666667</v>
      </c>
      <c r="V36" s="15">
        <f>TEXT(F36-E36,"[mm]")/60</f>
        <v>94.1</v>
      </c>
      <c r="W36" s="20" t="s">
        <v>33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ref="AD36:AD43" si="15">AVERAGE(U36:AC36)</f>
        <v>47.18333333</v>
      </c>
      <c r="AE36" s="15" t="s">
        <v>34</v>
      </c>
      <c r="AF36" s="15" t="s">
        <v>35</v>
      </c>
      <c r="AG36" s="15" t="s">
        <v>35</v>
      </c>
      <c r="AH36" s="15">
        <f t="shared" si="1"/>
        <v>10</v>
      </c>
      <c r="AI36" s="15"/>
      <c r="AJ36" s="15" t="s">
        <v>61</v>
      </c>
    </row>
    <row r="37" ht="15.75" customHeight="1">
      <c r="A37" s="15" t="s">
        <v>1138</v>
      </c>
      <c r="B37" s="16" t="s">
        <v>1300</v>
      </c>
      <c r="C37" s="15" t="s">
        <v>1301</v>
      </c>
      <c r="D37" s="15" t="s">
        <v>1302</v>
      </c>
      <c r="E37" s="15" t="s">
        <v>33</v>
      </c>
      <c r="F37" s="15" t="s">
        <v>1303</v>
      </c>
      <c r="G37" s="15" t="s">
        <v>33</v>
      </c>
      <c r="H37" s="15" t="s">
        <v>1304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 t="shared" si="14"/>
        <v>0.05</v>
      </c>
      <c r="V37" s="20" t="s">
        <v>33</v>
      </c>
      <c r="W37" s="20" t="s">
        <v>33</v>
      </c>
      <c r="X37" s="20" t="s">
        <v>33</v>
      </c>
      <c r="Y37" s="20" t="s">
        <v>33</v>
      </c>
      <c r="Z37" s="20" t="s">
        <v>33</v>
      </c>
      <c r="AA37" s="20" t="s">
        <v>33</v>
      </c>
      <c r="AB37" s="20" t="s">
        <v>33</v>
      </c>
      <c r="AC37" s="20" t="s">
        <v>33</v>
      </c>
      <c r="AD37" s="15">
        <f t="shared" si="15"/>
        <v>0.05</v>
      </c>
      <c r="AE37" s="15" t="s">
        <v>34</v>
      </c>
      <c r="AF37" s="15" t="s">
        <v>35</v>
      </c>
      <c r="AG37" s="15" t="s">
        <v>35</v>
      </c>
      <c r="AH37" s="15">
        <f t="shared" si="1"/>
        <v>10</v>
      </c>
      <c r="AI37" s="15"/>
      <c r="AJ37" s="15" t="s">
        <v>61</v>
      </c>
    </row>
    <row r="38" ht="15.75" customHeight="1">
      <c r="A38" s="15" t="s">
        <v>1138</v>
      </c>
      <c r="B38" s="16" t="s">
        <v>1305</v>
      </c>
      <c r="C38" s="15" t="s">
        <v>1306</v>
      </c>
      <c r="D38" s="15" t="s">
        <v>1307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15">
        <f t="shared" si="14"/>
        <v>0.05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15">
        <f t="shared" si="15"/>
        <v>0.05</v>
      </c>
      <c r="AE38" s="15" t="s">
        <v>34</v>
      </c>
      <c r="AF38" s="15" t="s">
        <v>35</v>
      </c>
      <c r="AG38" s="15" t="s">
        <v>35</v>
      </c>
      <c r="AH38" s="15">
        <f t="shared" si="1"/>
        <v>10</v>
      </c>
      <c r="AI38" s="15"/>
      <c r="AJ38" s="15" t="s">
        <v>61</v>
      </c>
    </row>
    <row r="39" ht="15.75" customHeight="1">
      <c r="A39" s="15" t="s">
        <v>1138</v>
      </c>
      <c r="B39" s="16" t="s">
        <v>1308</v>
      </c>
      <c r="C39" s="15" t="s">
        <v>1309</v>
      </c>
      <c r="D39" s="15" t="s">
        <v>1310</v>
      </c>
      <c r="E39" s="19">
        <v>46136.73611111111</v>
      </c>
      <c r="F39" s="19">
        <v>46136.74513888889</v>
      </c>
      <c r="G39" s="15" t="s">
        <v>33</v>
      </c>
      <c r="H39" s="15" t="s">
        <v>1311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 t="shared" si="14"/>
        <v>0.06666666667</v>
      </c>
      <c r="V39" s="15">
        <f t="shared" ref="V39:V40" si="16">TEXT(F39-E39,"[mm]")/60</f>
        <v>0.2166666667</v>
      </c>
      <c r="W39" s="20" t="s">
        <v>33</v>
      </c>
      <c r="X39" s="20" t="s">
        <v>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15">
        <f t="shared" si="15"/>
        <v>0.1416666667</v>
      </c>
      <c r="AE39" s="15" t="s">
        <v>34</v>
      </c>
      <c r="AF39" s="15" t="s">
        <v>35</v>
      </c>
      <c r="AG39" s="15" t="s">
        <v>35</v>
      </c>
      <c r="AH39" s="15">
        <f t="shared" si="1"/>
        <v>10</v>
      </c>
      <c r="AI39" s="15"/>
      <c r="AJ39" s="15" t="s">
        <v>61</v>
      </c>
    </row>
    <row r="40" ht="15.75" customHeight="1">
      <c r="A40" s="15" t="s">
        <v>1138</v>
      </c>
      <c r="B40" s="16" t="s">
        <v>1312</v>
      </c>
      <c r="C40" s="15" t="s">
        <v>1313</v>
      </c>
      <c r="D40" s="15" t="s">
        <v>1314</v>
      </c>
      <c r="E40" s="15" t="s">
        <v>1315</v>
      </c>
      <c r="F40" s="15" t="s">
        <v>1316</v>
      </c>
      <c r="G40" s="15" t="s">
        <v>33</v>
      </c>
      <c r="H40" s="15" t="s">
        <v>1317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15">
        <f t="shared" si="14"/>
        <v>1.383333333</v>
      </c>
      <c r="V40" s="15">
        <f t="shared" si="16"/>
        <v>3.133333333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15">
        <f t="shared" si="15"/>
        <v>2.258333333</v>
      </c>
      <c r="AE40" s="15" t="s">
        <v>34</v>
      </c>
      <c r="AF40" s="15" t="s">
        <v>35</v>
      </c>
      <c r="AG40" s="15" t="s">
        <v>35</v>
      </c>
      <c r="AH40" s="15">
        <f t="shared" si="1"/>
        <v>10</v>
      </c>
      <c r="AI40" s="15"/>
      <c r="AJ40" s="15" t="s">
        <v>61</v>
      </c>
    </row>
    <row r="41" ht="15.75" customHeight="1">
      <c r="A41" s="15" t="s">
        <v>1138</v>
      </c>
      <c r="B41" s="16" t="s">
        <v>1318</v>
      </c>
      <c r="C41" s="15" t="s">
        <v>1319</v>
      </c>
      <c r="D41" s="15" t="s">
        <v>1320</v>
      </c>
      <c r="E41" s="15" t="s">
        <v>33</v>
      </c>
      <c r="F41" s="15" t="s">
        <v>1321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si="14"/>
        <v>0.3666666667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15">
        <f t="shared" si="15"/>
        <v>0.3666666667</v>
      </c>
      <c r="AE41" s="15" t="s">
        <v>34</v>
      </c>
      <c r="AF41" s="15" t="s">
        <v>35</v>
      </c>
      <c r="AG41" s="15" t="s">
        <v>35</v>
      </c>
      <c r="AH41" s="15">
        <f t="shared" si="1"/>
        <v>10</v>
      </c>
      <c r="AI41" s="15"/>
      <c r="AJ41" s="15" t="s">
        <v>61</v>
      </c>
    </row>
    <row r="42" ht="15.75" customHeight="1">
      <c r="A42" s="15" t="s">
        <v>1138</v>
      </c>
      <c r="B42" s="16" t="s">
        <v>1322</v>
      </c>
      <c r="C42" s="15" t="s">
        <v>1323</v>
      </c>
      <c r="D42" s="15" t="s">
        <v>1324</v>
      </c>
      <c r="E42" s="15" t="s">
        <v>1325</v>
      </c>
      <c r="F42" s="15" t="s">
        <v>1326</v>
      </c>
      <c r="G42" s="15" t="s">
        <v>1327</v>
      </c>
      <c r="H42" s="15" t="s">
        <v>33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si="14"/>
        <v>0.01666666667</v>
      </c>
      <c r="V42" s="15">
        <f>TEXT(F42-E42,"[mm]")/60</f>
        <v>263.8833333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 t="shared" si="15"/>
        <v>131.95</v>
      </c>
      <c r="AE42" s="15" t="s">
        <v>34</v>
      </c>
      <c r="AF42" s="15" t="s">
        <v>35</v>
      </c>
      <c r="AG42" s="15" t="s">
        <v>35</v>
      </c>
      <c r="AH42" s="15">
        <f t="shared" si="1"/>
        <v>10</v>
      </c>
      <c r="AI42" s="15"/>
      <c r="AJ42" s="15" t="s">
        <v>61</v>
      </c>
    </row>
    <row r="43" ht="15.75" customHeight="1">
      <c r="A43" s="15" t="s">
        <v>1138</v>
      </c>
      <c r="B43" s="16" t="s">
        <v>1328</v>
      </c>
      <c r="C43" s="15" t="s">
        <v>1329</v>
      </c>
      <c r="D43" s="15" t="s">
        <v>1330</v>
      </c>
      <c r="E43" s="15" t="s">
        <v>33</v>
      </c>
      <c r="F43" s="15" t="s">
        <v>1331</v>
      </c>
      <c r="G43" s="15" t="s">
        <v>33</v>
      </c>
      <c r="H43" s="15" t="s">
        <v>1332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14"/>
        <v>1.6</v>
      </c>
      <c r="V43" s="20" t="s">
        <v>33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15">
        <f t="shared" si="15"/>
        <v>1.6</v>
      </c>
      <c r="AE43" s="15" t="s">
        <v>34</v>
      </c>
      <c r="AF43" s="15" t="s">
        <v>35</v>
      </c>
      <c r="AG43" s="15" t="s">
        <v>35</v>
      </c>
      <c r="AH43" s="15">
        <f t="shared" si="1"/>
        <v>10</v>
      </c>
      <c r="AI43" s="15"/>
      <c r="AJ43" s="15" t="s">
        <v>61</v>
      </c>
    </row>
    <row r="44" ht="15.75" customHeight="1">
      <c r="A44" s="15" t="s">
        <v>1138</v>
      </c>
      <c r="B44" s="16" t="s">
        <v>1333</v>
      </c>
      <c r="C44" s="15" t="s">
        <v>299</v>
      </c>
      <c r="D44" s="15" t="s">
        <v>33</v>
      </c>
      <c r="E44" s="15" t="s">
        <v>33</v>
      </c>
      <c r="F44" s="15" t="s">
        <v>33</v>
      </c>
      <c r="G44" s="15" t="s">
        <v>33</v>
      </c>
      <c r="H44" s="15" t="s">
        <v>33</v>
      </c>
      <c r="I44" s="15" t="s">
        <v>33</v>
      </c>
      <c r="J44" s="15" t="s">
        <v>33</v>
      </c>
      <c r="K44" s="15" t="s">
        <v>33</v>
      </c>
      <c r="L44" s="15" t="s">
        <v>33</v>
      </c>
      <c r="M44" s="15" t="s">
        <v>33</v>
      </c>
      <c r="N44" s="15" t="s">
        <v>33</v>
      </c>
      <c r="O44" s="15" t="s">
        <v>33</v>
      </c>
      <c r="P44" s="15" t="s">
        <v>33</v>
      </c>
      <c r="Q44" s="15" t="s">
        <v>33</v>
      </c>
      <c r="R44" s="15" t="s">
        <v>33</v>
      </c>
      <c r="S44" s="15" t="s">
        <v>33</v>
      </c>
      <c r="T44" s="15" t="s">
        <v>33</v>
      </c>
      <c r="U44" s="20" t="s">
        <v>33</v>
      </c>
      <c r="V44" s="20" t="s">
        <v>33</v>
      </c>
      <c r="W44" s="20" t="s">
        <v>33</v>
      </c>
      <c r="X44" s="20" t="s">
        <v>33</v>
      </c>
      <c r="Y44" s="20" t="s">
        <v>33</v>
      </c>
      <c r="Z44" s="20" t="s">
        <v>33</v>
      </c>
      <c r="AA44" s="20" t="s">
        <v>33</v>
      </c>
      <c r="AB44" s="20" t="s">
        <v>33</v>
      </c>
      <c r="AC44" s="20" t="s">
        <v>33</v>
      </c>
      <c r="AD44" s="20" t="s">
        <v>33</v>
      </c>
      <c r="AE44" s="15" t="s">
        <v>35</v>
      </c>
      <c r="AF44" s="15" t="s">
        <v>35</v>
      </c>
      <c r="AG44" s="15" t="s">
        <v>35</v>
      </c>
      <c r="AH44" s="15">
        <f t="shared" si="1"/>
        <v>-15</v>
      </c>
      <c r="AI44" s="15"/>
      <c r="AJ44" s="15" t="s">
        <v>61</v>
      </c>
    </row>
    <row r="45" ht="15.75" customHeight="1">
      <c r="A45" s="15" t="s">
        <v>1138</v>
      </c>
      <c r="B45" s="16" t="s">
        <v>1334</v>
      </c>
      <c r="C45" s="15" t="s">
        <v>1335</v>
      </c>
      <c r="D45" s="15" t="s">
        <v>1336</v>
      </c>
      <c r="E45" s="15" t="s">
        <v>1337</v>
      </c>
      <c r="F45" s="15" t="s">
        <v>1338</v>
      </c>
      <c r="G45" s="15" t="s">
        <v>33</v>
      </c>
      <c r="H45" s="15" t="s">
        <v>33</v>
      </c>
      <c r="I45" s="15" t="s">
        <v>33</v>
      </c>
      <c r="J45" s="15" t="s">
        <v>33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15">
        <f t="shared" ref="U45:U46" si="17">TEXT(D45-C45,"[mm]")/60</f>
        <v>1.233333333</v>
      </c>
      <c r="V45" s="15">
        <f>TEXT(F45-E45,"[mm]")/60</f>
        <v>3.183333333</v>
      </c>
      <c r="W45" s="20" t="s">
        <v>33</v>
      </c>
      <c r="X45" s="20" t="s">
        <v>33</v>
      </c>
      <c r="Y45" s="20" t="s">
        <v>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15">
        <f t="shared" ref="AD45:AD46" si="18">AVERAGE(U45:AC45)</f>
        <v>2.208333333</v>
      </c>
      <c r="AE45" s="15" t="s">
        <v>34</v>
      </c>
      <c r="AF45" s="15" t="s">
        <v>35</v>
      </c>
      <c r="AG45" s="15" t="s">
        <v>35</v>
      </c>
      <c r="AH45" s="15">
        <f t="shared" si="1"/>
        <v>10</v>
      </c>
      <c r="AI45" s="15"/>
      <c r="AJ45" s="15" t="s">
        <v>61</v>
      </c>
    </row>
    <row r="46" ht="15.75" customHeight="1">
      <c r="A46" s="15" t="s">
        <v>1138</v>
      </c>
      <c r="B46" s="16" t="s">
        <v>1339</v>
      </c>
      <c r="C46" s="15" t="s">
        <v>1340</v>
      </c>
      <c r="D46" s="15" t="s">
        <v>1341</v>
      </c>
      <c r="E46" s="15" t="s">
        <v>1342</v>
      </c>
      <c r="F46" s="15" t="s">
        <v>33</v>
      </c>
      <c r="G46" s="15" t="s">
        <v>1343</v>
      </c>
      <c r="H46" s="15" t="s">
        <v>33</v>
      </c>
      <c r="I46" s="15" t="s">
        <v>1344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si="17"/>
        <v>0.4833333333</v>
      </c>
      <c r="V46" s="20" t="s">
        <v>33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15">
        <f t="shared" si="18"/>
        <v>0.4833333333</v>
      </c>
      <c r="AE46" s="15" t="s">
        <v>34</v>
      </c>
      <c r="AF46" s="15" t="s">
        <v>35</v>
      </c>
      <c r="AG46" s="15" t="s">
        <v>35</v>
      </c>
      <c r="AH46" s="15">
        <f t="shared" si="1"/>
        <v>10</v>
      </c>
      <c r="AI46" s="15"/>
      <c r="AJ46" s="15" t="s">
        <v>61</v>
      </c>
    </row>
    <row r="47" ht="15.75" customHeight="1">
      <c r="A47" s="15" t="s">
        <v>1138</v>
      </c>
      <c r="B47" s="16" t="s">
        <v>1345</v>
      </c>
      <c r="C47" s="15" t="s">
        <v>1346</v>
      </c>
      <c r="D47" s="15" t="s">
        <v>33</v>
      </c>
      <c r="E47" s="15" t="s">
        <v>1347</v>
      </c>
      <c r="F47" s="15" t="s">
        <v>33</v>
      </c>
      <c r="G47" s="15" t="s">
        <v>33</v>
      </c>
      <c r="H47" s="15" t="s">
        <v>33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20" t="s">
        <v>33</v>
      </c>
      <c r="V47" s="20" t="s">
        <v>33</v>
      </c>
      <c r="W47" s="20" t="s">
        <v>33</v>
      </c>
      <c r="X47" s="20" t="s">
        <v>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20" t="s">
        <v>33</v>
      </c>
      <c r="AE47" s="15" t="s">
        <v>35</v>
      </c>
      <c r="AF47" s="15" t="s">
        <v>35</v>
      </c>
      <c r="AG47" s="15" t="s">
        <v>35</v>
      </c>
      <c r="AH47" s="15">
        <f t="shared" si="1"/>
        <v>-15</v>
      </c>
      <c r="AI47" s="15"/>
      <c r="AJ47" s="15" t="s">
        <v>61</v>
      </c>
    </row>
    <row r="48" ht="15.75" customHeight="1">
      <c r="A48" s="15" t="s">
        <v>1138</v>
      </c>
      <c r="B48" s="16" t="s">
        <v>1348</v>
      </c>
      <c r="C48" s="15" t="s">
        <v>1349</v>
      </c>
      <c r="D48" s="15" t="s">
        <v>33</v>
      </c>
      <c r="E48" s="15" t="s">
        <v>33</v>
      </c>
      <c r="F48" s="15" t="s">
        <v>33</v>
      </c>
      <c r="G48" s="15" t="s">
        <v>33</v>
      </c>
      <c r="H48" s="15" t="s">
        <v>33</v>
      </c>
      <c r="I48" s="15" t="s">
        <v>33</v>
      </c>
      <c r="J48" s="15" t="s">
        <v>33</v>
      </c>
      <c r="K48" s="15" t="s">
        <v>33</v>
      </c>
      <c r="L48" s="15" t="s">
        <v>33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20" t="s">
        <v>33</v>
      </c>
      <c r="V48" s="20" t="s">
        <v>33</v>
      </c>
      <c r="W48" s="20" t="s">
        <v>33</v>
      </c>
      <c r="X48" s="20" t="s">
        <v>33</v>
      </c>
      <c r="Y48" s="20" t="s">
        <v>33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20" t="s">
        <v>33</v>
      </c>
      <c r="AE48" s="15" t="s">
        <v>35</v>
      </c>
      <c r="AF48" s="15" t="s">
        <v>35</v>
      </c>
      <c r="AG48" s="15" t="s">
        <v>35</v>
      </c>
      <c r="AH48" s="15">
        <f t="shared" si="1"/>
        <v>-15</v>
      </c>
      <c r="AI48" s="15"/>
      <c r="AJ48" s="15" t="s">
        <v>61</v>
      </c>
    </row>
    <row r="49" ht="15.75" customHeight="1">
      <c r="A49" s="15" t="s">
        <v>1138</v>
      </c>
      <c r="B49" s="16" t="s">
        <v>1350</v>
      </c>
      <c r="C49" s="15" t="s">
        <v>1351</v>
      </c>
      <c r="D49" s="15" t="s">
        <v>1352</v>
      </c>
      <c r="E49" s="19">
        <v>46134.76527777778</v>
      </c>
      <c r="F49" s="19">
        <v>46134.80763888889</v>
      </c>
      <c r="G49" s="15" t="s">
        <v>33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ref="U49:U51" si="19">TEXT(D49-C49,"[mm]")/60</f>
        <v>0.7333333333</v>
      </c>
      <c r="V49" s="15">
        <f>TEXT(F49-E49,"[mm]")/60</f>
        <v>1.016666667</v>
      </c>
      <c r="W49" s="20" t="s">
        <v>33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ref="AD49:AD51" si="20">AVERAGE(U49:AC49)</f>
        <v>0.875</v>
      </c>
      <c r="AE49" s="15" t="s">
        <v>34</v>
      </c>
      <c r="AF49" s="15" t="s">
        <v>35</v>
      </c>
      <c r="AG49" s="15" t="s">
        <v>35</v>
      </c>
      <c r="AH49" s="15">
        <f t="shared" si="1"/>
        <v>10</v>
      </c>
      <c r="AI49" s="15"/>
      <c r="AJ49" s="15" t="s">
        <v>61</v>
      </c>
    </row>
    <row r="50" ht="15.75" customHeight="1">
      <c r="A50" s="15" t="s">
        <v>1138</v>
      </c>
      <c r="B50" s="16" t="s">
        <v>1353</v>
      </c>
      <c r="C50" s="15" t="s">
        <v>1354</v>
      </c>
      <c r="D50" s="15" t="s">
        <v>1355</v>
      </c>
      <c r="E50" s="15" t="s">
        <v>33</v>
      </c>
      <c r="F50" s="15" t="s">
        <v>33</v>
      </c>
      <c r="G50" s="15" t="s">
        <v>33</v>
      </c>
      <c r="H50" s="15" t="s">
        <v>33</v>
      </c>
      <c r="I50" s="15" t="s">
        <v>33</v>
      </c>
      <c r="J50" s="15" t="s">
        <v>33</v>
      </c>
      <c r="K50" s="15" t="s">
        <v>33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19"/>
        <v>1.85</v>
      </c>
      <c r="V50" s="20" t="s">
        <v>33</v>
      </c>
      <c r="W50" s="20" t="s">
        <v>33</v>
      </c>
      <c r="X50" s="20" t="s">
        <v>33</v>
      </c>
      <c r="Y50" s="20" t="s">
        <v>33</v>
      </c>
      <c r="Z50" s="20" t="s">
        <v>33</v>
      </c>
      <c r="AA50" s="20" t="s">
        <v>33</v>
      </c>
      <c r="AB50" s="20" t="s">
        <v>33</v>
      </c>
      <c r="AC50" s="20" t="s">
        <v>33</v>
      </c>
      <c r="AD50" s="15">
        <f t="shared" si="20"/>
        <v>1.85</v>
      </c>
      <c r="AE50" s="15" t="s">
        <v>34</v>
      </c>
      <c r="AF50" s="15" t="s">
        <v>35</v>
      </c>
      <c r="AG50" s="15" t="s">
        <v>35</v>
      </c>
      <c r="AH50" s="15">
        <f t="shared" si="1"/>
        <v>10</v>
      </c>
      <c r="AI50" s="15"/>
      <c r="AJ50" s="15" t="s">
        <v>61</v>
      </c>
    </row>
    <row r="51" ht="15.75" customHeight="1">
      <c r="A51" s="15" t="s">
        <v>1138</v>
      </c>
      <c r="B51" s="16" t="s">
        <v>1356</v>
      </c>
      <c r="C51" s="15" t="s">
        <v>1357</v>
      </c>
      <c r="D51" s="15" t="s">
        <v>1358</v>
      </c>
      <c r="E51" s="15" t="s">
        <v>33</v>
      </c>
      <c r="F51" s="15" t="s">
        <v>33</v>
      </c>
      <c r="G51" s="15" t="s">
        <v>33</v>
      </c>
      <c r="H51" s="15" t="s">
        <v>33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15">
        <f t="shared" si="19"/>
        <v>1.066666667</v>
      </c>
      <c r="V51" s="20" t="s">
        <v>33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15">
        <f t="shared" si="20"/>
        <v>1.066666667</v>
      </c>
      <c r="AE51" s="15" t="s">
        <v>34</v>
      </c>
      <c r="AF51" s="15" t="s">
        <v>35</v>
      </c>
      <c r="AG51" s="15" t="s">
        <v>35</v>
      </c>
      <c r="AH51" s="15">
        <f t="shared" si="1"/>
        <v>10</v>
      </c>
      <c r="AI51" s="15"/>
      <c r="AJ51" s="15" t="s">
        <v>61</v>
      </c>
    </row>
    <row r="52" ht="15.75" customHeight="1">
      <c r="A52" s="15" t="s">
        <v>1138</v>
      </c>
      <c r="B52" s="16" t="s">
        <v>1359</v>
      </c>
      <c r="C52" s="15" t="s">
        <v>1360</v>
      </c>
      <c r="D52" s="15" t="s">
        <v>33</v>
      </c>
      <c r="E52" s="15" t="s">
        <v>33</v>
      </c>
      <c r="F52" s="15" t="s">
        <v>33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20" t="s">
        <v>33</v>
      </c>
      <c r="V52" s="20" t="s">
        <v>33</v>
      </c>
      <c r="W52" s="20" t="s">
        <v>33</v>
      </c>
      <c r="X52" s="20" t="s">
        <v>33</v>
      </c>
      <c r="Y52" s="20" t="s">
        <v>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20" t="s">
        <v>33</v>
      </c>
      <c r="AE52" s="15" t="s">
        <v>35</v>
      </c>
      <c r="AF52" s="15" t="s">
        <v>35</v>
      </c>
      <c r="AG52" s="15" t="s">
        <v>35</v>
      </c>
      <c r="AH52" s="15">
        <f t="shared" si="1"/>
        <v>-15</v>
      </c>
      <c r="AI52" s="15"/>
      <c r="AJ52" s="15" t="s">
        <v>61</v>
      </c>
    </row>
    <row r="53" ht="15.75" customHeight="1">
      <c r="A53" s="15" t="s">
        <v>1138</v>
      </c>
      <c r="B53" s="16" t="s">
        <v>1361</v>
      </c>
      <c r="C53" s="15" t="s">
        <v>1362</v>
      </c>
      <c r="D53" s="15" t="s">
        <v>1363</v>
      </c>
      <c r="E53" s="15" t="s">
        <v>33</v>
      </c>
      <c r="F53" s="15" t="s">
        <v>33</v>
      </c>
      <c r="G53" s="15" t="s">
        <v>33</v>
      </c>
      <c r="H53" s="15" t="s">
        <v>33</v>
      </c>
      <c r="I53" s="15" t="s">
        <v>33</v>
      </c>
      <c r="J53" s="15" t="s">
        <v>33</v>
      </c>
      <c r="K53" s="15" t="s">
        <v>33</v>
      </c>
      <c r="L53" s="15" t="s">
        <v>33</v>
      </c>
      <c r="M53" s="15" t="s">
        <v>33</v>
      </c>
      <c r="N53" s="15" t="s">
        <v>33</v>
      </c>
      <c r="O53" s="15" t="s">
        <v>33</v>
      </c>
      <c r="P53" s="15" t="s">
        <v>33</v>
      </c>
      <c r="Q53" s="15" t="s">
        <v>33</v>
      </c>
      <c r="R53" s="15" t="s">
        <v>33</v>
      </c>
      <c r="S53" s="15" t="s">
        <v>33</v>
      </c>
      <c r="T53" s="15" t="s">
        <v>33</v>
      </c>
      <c r="U53" s="15">
        <f t="shared" ref="U53:U55" si="21">TEXT(D53-C53,"[mm]")/60</f>
        <v>0.8333333333</v>
      </c>
      <c r="V53" s="20" t="s">
        <v>33</v>
      </c>
      <c r="W53" s="20" t="s">
        <v>33</v>
      </c>
      <c r="X53" s="20" t="s">
        <v>33</v>
      </c>
      <c r="Y53" s="20" t="s">
        <v>33</v>
      </c>
      <c r="Z53" s="20" t="s">
        <v>33</v>
      </c>
      <c r="AA53" s="20" t="s">
        <v>33</v>
      </c>
      <c r="AB53" s="20" t="s">
        <v>33</v>
      </c>
      <c r="AC53" s="20" t="s">
        <v>33</v>
      </c>
      <c r="AD53" s="15">
        <f t="shared" ref="AD53:AD55" si="22">AVERAGE(U53:AC53)</f>
        <v>0.8333333333</v>
      </c>
      <c r="AE53" s="15" t="s">
        <v>34</v>
      </c>
      <c r="AF53" s="15" t="s">
        <v>35</v>
      </c>
      <c r="AG53" s="15" t="s">
        <v>35</v>
      </c>
      <c r="AH53" s="15">
        <f t="shared" si="1"/>
        <v>10</v>
      </c>
      <c r="AI53" s="15"/>
      <c r="AJ53" s="15" t="s">
        <v>61</v>
      </c>
    </row>
    <row r="54" ht="15.75" customHeight="1">
      <c r="A54" s="15" t="s">
        <v>1138</v>
      </c>
      <c r="B54" s="16" t="s">
        <v>1364</v>
      </c>
      <c r="C54" s="15" t="s">
        <v>1365</v>
      </c>
      <c r="D54" s="15" t="s">
        <v>1366</v>
      </c>
      <c r="E54" s="15" t="s">
        <v>1367</v>
      </c>
      <c r="F54" s="15" t="s">
        <v>1368</v>
      </c>
      <c r="G54" s="15" t="s">
        <v>1369</v>
      </c>
      <c r="H54" s="15" t="s">
        <v>1370</v>
      </c>
      <c r="I54" s="15" t="s">
        <v>1371</v>
      </c>
      <c r="J54" s="15" t="s">
        <v>33</v>
      </c>
      <c r="K54" s="15" t="s">
        <v>1372</v>
      </c>
      <c r="L54" s="15" t="s">
        <v>33</v>
      </c>
      <c r="M54" s="15" t="s">
        <v>1373</v>
      </c>
      <c r="N54" s="15" t="s">
        <v>33</v>
      </c>
      <c r="O54" s="15" t="s">
        <v>1374</v>
      </c>
      <c r="P54" s="15" t="s">
        <v>33</v>
      </c>
      <c r="Q54" s="15" t="s">
        <v>1375</v>
      </c>
      <c r="R54" s="15" t="s">
        <v>33</v>
      </c>
      <c r="S54" s="15" t="s">
        <v>1376</v>
      </c>
      <c r="T54" s="15" t="s">
        <v>33</v>
      </c>
      <c r="U54" s="15">
        <f t="shared" si="21"/>
        <v>0.6166666667</v>
      </c>
      <c r="V54" s="15">
        <f>TEXT(F54-E54,"[mm]")/60</f>
        <v>11.3</v>
      </c>
      <c r="W54" s="15">
        <f>TEXT(H54-G54,"[mm]")/60</f>
        <v>35.21666667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15">
        <f t="shared" si="22"/>
        <v>15.71111111</v>
      </c>
      <c r="AE54" s="15" t="s">
        <v>34</v>
      </c>
      <c r="AF54" s="15" t="s">
        <v>35</v>
      </c>
      <c r="AG54" s="15" t="s">
        <v>35</v>
      </c>
      <c r="AH54" s="15">
        <f t="shared" si="1"/>
        <v>10</v>
      </c>
      <c r="AI54" s="15"/>
      <c r="AJ54" s="15" t="s">
        <v>61</v>
      </c>
    </row>
    <row r="55" ht="15.75" customHeight="1">
      <c r="A55" s="15" t="s">
        <v>1138</v>
      </c>
      <c r="B55" s="16" t="s">
        <v>1377</v>
      </c>
      <c r="C55" s="15" t="s">
        <v>1378</v>
      </c>
      <c r="D55" s="15" t="s">
        <v>1379</v>
      </c>
      <c r="E55" s="15" t="s">
        <v>1380</v>
      </c>
      <c r="F55" s="15" t="s">
        <v>33</v>
      </c>
      <c r="G55" s="15" t="s">
        <v>1381</v>
      </c>
      <c r="H55" s="15" t="s">
        <v>33</v>
      </c>
      <c r="I55" s="15" t="s">
        <v>1382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15">
        <f t="shared" si="21"/>
        <v>0.2</v>
      </c>
      <c r="V55" s="20" t="s">
        <v>33</v>
      </c>
      <c r="W55" s="20" t="s">
        <v>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15">
        <f t="shared" si="22"/>
        <v>0.2</v>
      </c>
      <c r="AE55" s="15" t="s">
        <v>34</v>
      </c>
      <c r="AF55" s="15" t="s">
        <v>35</v>
      </c>
      <c r="AG55" s="15" t="s">
        <v>35</v>
      </c>
      <c r="AH55" s="15">
        <f t="shared" si="1"/>
        <v>10</v>
      </c>
      <c r="AI55" s="15"/>
      <c r="AJ55" s="15" t="s">
        <v>61</v>
      </c>
    </row>
    <row r="56" ht="15.75" customHeight="1">
      <c r="A56" s="15" t="s">
        <v>1138</v>
      </c>
      <c r="B56" s="16" t="s">
        <v>1383</v>
      </c>
      <c r="C56" s="15" t="s">
        <v>1384</v>
      </c>
      <c r="D56" s="15" t="s">
        <v>33</v>
      </c>
      <c r="E56" s="15" t="s">
        <v>33</v>
      </c>
      <c r="F56" s="15" t="s">
        <v>33</v>
      </c>
      <c r="G56" s="15" t="s">
        <v>33</v>
      </c>
      <c r="H56" s="15" t="s">
        <v>33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20" t="s">
        <v>33</v>
      </c>
      <c r="V56" s="20" t="s">
        <v>33</v>
      </c>
      <c r="W56" s="20" t="s">
        <v>33</v>
      </c>
      <c r="X56" s="20" t="s">
        <v>33</v>
      </c>
      <c r="Y56" s="20" t="s">
        <v>33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20" t="s">
        <v>33</v>
      </c>
      <c r="AE56" s="15" t="s">
        <v>35</v>
      </c>
      <c r="AF56" s="15" t="s">
        <v>35</v>
      </c>
      <c r="AG56" s="15" t="s">
        <v>35</v>
      </c>
      <c r="AH56" s="15">
        <f t="shared" si="1"/>
        <v>-15</v>
      </c>
      <c r="AI56" s="15"/>
      <c r="AJ56" s="15" t="s">
        <v>61</v>
      </c>
    </row>
    <row r="57" ht="15.75" customHeight="1">
      <c r="A57" s="15" t="s">
        <v>1138</v>
      </c>
      <c r="B57" s="16" t="s">
        <v>1385</v>
      </c>
      <c r="C57" s="15" t="s">
        <v>1386</v>
      </c>
      <c r="D57" s="15" t="s">
        <v>1387</v>
      </c>
      <c r="E57" s="15" t="s">
        <v>1388</v>
      </c>
      <c r="F57" s="15" t="s">
        <v>33</v>
      </c>
      <c r="G57" s="15" t="s">
        <v>1389</v>
      </c>
      <c r="H57" s="15" t="s">
        <v>33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ref="U57:U59" si="23">TEXT(D57-C57,"[mm]")/60</f>
        <v>0.5833333333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15">
        <f t="shared" ref="AD57:AD59" si="24">AVERAGE(U57:AC57)</f>
        <v>0.5833333333</v>
      </c>
      <c r="AE57" s="15" t="s">
        <v>34</v>
      </c>
      <c r="AF57" s="15" t="s">
        <v>35</v>
      </c>
      <c r="AG57" s="15" t="s">
        <v>35</v>
      </c>
      <c r="AH57" s="15">
        <f t="shared" si="1"/>
        <v>10</v>
      </c>
      <c r="AI57" s="15"/>
      <c r="AJ57" s="15" t="s">
        <v>61</v>
      </c>
    </row>
    <row r="58" ht="15.75" customHeight="1">
      <c r="A58" s="15" t="s">
        <v>1138</v>
      </c>
      <c r="B58" s="16" t="s">
        <v>1390</v>
      </c>
      <c r="C58" s="15" t="s">
        <v>303</v>
      </c>
      <c r="D58" s="15" t="s">
        <v>1391</v>
      </c>
      <c r="E58" s="15" t="s">
        <v>1392</v>
      </c>
      <c r="F58" s="15" t="s">
        <v>33</v>
      </c>
      <c r="G58" s="15" t="s">
        <v>33</v>
      </c>
      <c r="H58" s="15" t="s">
        <v>33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si="23"/>
        <v>0.2333333333</v>
      </c>
      <c r="V58" s="20" t="s">
        <v>33</v>
      </c>
      <c r="W58" s="20" t="s">
        <v>33</v>
      </c>
      <c r="X58" s="20" t="s">
        <v>33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15">
        <f t="shared" si="24"/>
        <v>0.2333333333</v>
      </c>
      <c r="AE58" s="15" t="s">
        <v>34</v>
      </c>
      <c r="AF58" s="15" t="s">
        <v>35</v>
      </c>
      <c r="AG58" s="15" t="s">
        <v>35</v>
      </c>
      <c r="AH58" s="15">
        <f t="shared" si="1"/>
        <v>10</v>
      </c>
      <c r="AI58" s="15"/>
      <c r="AJ58" s="15" t="s">
        <v>61</v>
      </c>
    </row>
    <row r="59" ht="15.75" customHeight="1">
      <c r="A59" s="15" t="s">
        <v>1138</v>
      </c>
      <c r="B59" s="16" t="s">
        <v>1393</v>
      </c>
      <c r="C59" s="15" t="s">
        <v>1394</v>
      </c>
      <c r="D59" s="15" t="s">
        <v>1395</v>
      </c>
      <c r="E59" s="15" t="s">
        <v>1396</v>
      </c>
      <c r="F59" s="15" t="s">
        <v>33</v>
      </c>
      <c r="G59" s="15" t="s">
        <v>33</v>
      </c>
      <c r="H59" s="15" t="s">
        <v>33</v>
      </c>
      <c r="I59" s="15" t="s">
        <v>33</v>
      </c>
      <c r="J59" s="15" t="s">
        <v>33</v>
      </c>
      <c r="K59" s="15" t="s">
        <v>33</v>
      </c>
      <c r="L59" s="15" t="s">
        <v>33</v>
      </c>
      <c r="M59" s="15" t="s">
        <v>33</v>
      </c>
      <c r="N59" s="15" t="s">
        <v>33</v>
      </c>
      <c r="O59" s="15" t="s">
        <v>33</v>
      </c>
      <c r="P59" s="15" t="s">
        <v>33</v>
      </c>
      <c r="Q59" s="15" t="s">
        <v>33</v>
      </c>
      <c r="R59" s="15" t="s">
        <v>33</v>
      </c>
      <c r="S59" s="15" t="s">
        <v>33</v>
      </c>
      <c r="T59" s="15" t="s">
        <v>33</v>
      </c>
      <c r="U59" s="15">
        <f t="shared" si="23"/>
        <v>0.06666666667</v>
      </c>
      <c r="V59" s="20" t="s">
        <v>33</v>
      </c>
      <c r="W59" s="20" t="s">
        <v>33</v>
      </c>
      <c r="X59" s="20" t="s">
        <v>33</v>
      </c>
      <c r="Y59" s="20" t="s">
        <v>33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si="24"/>
        <v>0.06666666667</v>
      </c>
      <c r="AE59" s="15" t="s">
        <v>34</v>
      </c>
      <c r="AF59" s="15" t="s">
        <v>35</v>
      </c>
      <c r="AG59" s="15" t="s">
        <v>35</v>
      </c>
      <c r="AH59" s="15">
        <f t="shared" si="1"/>
        <v>10</v>
      </c>
      <c r="AI59" s="15"/>
      <c r="AJ59" s="15" t="s">
        <v>61</v>
      </c>
    </row>
    <row r="60" ht="15.75" customHeight="1">
      <c r="A60" s="15" t="s">
        <v>1138</v>
      </c>
      <c r="B60" s="16" t="s">
        <v>1397</v>
      </c>
      <c r="C60" s="15" t="s">
        <v>1398</v>
      </c>
      <c r="D60" s="15" t="s">
        <v>33</v>
      </c>
      <c r="E60" s="15" t="s">
        <v>33</v>
      </c>
      <c r="F60" s="15" t="s">
        <v>33</v>
      </c>
      <c r="G60" s="15" t="s">
        <v>33</v>
      </c>
      <c r="H60" s="15" t="s">
        <v>33</v>
      </c>
      <c r="I60" s="15" t="s">
        <v>33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20" t="s">
        <v>33</v>
      </c>
      <c r="V60" s="20" t="s">
        <v>33</v>
      </c>
      <c r="W60" s="20" t="s">
        <v>33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20" t="s">
        <v>33</v>
      </c>
      <c r="AE60" s="15" t="s">
        <v>35</v>
      </c>
      <c r="AF60" s="15" t="s">
        <v>35</v>
      </c>
      <c r="AG60" s="15" t="s">
        <v>35</v>
      </c>
      <c r="AH60" s="15">
        <f t="shared" si="1"/>
        <v>-15</v>
      </c>
      <c r="AI60" s="15"/>
      <c r="AJ60" s="15" t="s">
        <v>61</v>
      </c>
    </row>
    <row r="61" ht="15.75" customHeight="1">
      <c r="A61" s="15" t="s">
        <v>1138</v>
      </c>
      <c r="B61" s="16" t="s">
        <v>1399</v>
      </c>
      <c r="C61" s="15" t="s">
        <v>1400</v>
      </c>
      <c r="D61" s="15" t="s">
        <v>1401</v>
      </c>
      <c r="E61" s="15" t="s">
        <v>1402</v>
      </c>
      <c r="F61" s="15" t="s">
        <v>1403</v>
      </c>
      <c r="G61" s="15" t="s">
        <v>33</v>
      </c>
      <c r="H61" s="15" t="s">
        <v>33</v>
      </c>
      <c r="I61" s="15" t="s">
        <v>33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 t="shared" ref="U61:U70" si="25">TEXT(D61-C61,"[mm]")/60</f>
        <v>0.1</v>
      </c>
      <c r="V61" s="15">
        <f>TEXT(F61-E61,"[mm]")/60</f>
        <v>131.75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15">
        <f t="shared" ref="AD61:AD70" si="26">AVERAGE(U61:AC61)</f>
        <v>65.925</v>
      </c>
      <c r="AE61" s="15" t="s">
        <v>34</v>
      </c>
      <c r="AF61" s="15" t="s">
        <v>35</v>
      </c>
      <c r="AG61" s="15" t="s">
        <v>35</v>
      </c>
      <c r="AH61" s="15">
        <f t="shared" si="1"/>
        <v>10</v>
      </c>
      <c r="AI61" s="15"/>
      <c r="AJ61" s="15" t="s">
        <v>61</v>
      </c>
    </row>
    <row r="62" ht="15.75" customHeight="1">
      <c r="A62" s="15" t="s">
        <v>1138</v>
      </c>
      <c r="B62" s="16" t="s">
        <v>1404</v>
      </c>
      <c r="C62" s="15" t="s">
        <v>1405</v>
      </c>
      <c r="D62" s="15" t="s">
        <v>1406</v>
      </c>
      <c r="E62" s="15" t="s">
        <v>33</v>
      </c>
      <c r="F62" s="15" t="s">
        <v>33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 t="shared" si="25"/>
        <v>0.8166666667</v>
      </c>
      <c r="V62" s="20" t="s">
        <v>33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15">
        <f t="shared" si="26"/>
        <v>0.8166666667</v>
      </c>
      <c r="AE62" s="15" t="s">
        <v>34</v>
      </c>
      <c r="AF62" s="15" t="s">
        <v>35</v>
      </c>
      <c r="AG62" s="15" t="s">
        <v>35</v>
      </c>
      <c r="AH62" s="15">
        <f t="shared" si="1"/>
        <v>10</v>
      </c>
      <c r="AI62" s="15"/>
      <c r="AJ62" s="15" t="s">
        <v>61</v>
      </c>
    </row>
    <row r="63" ht="15.75" customHeight="1">
      <c r="A63" s="15" t="s">
        <v>1138</v>
      </c>
      <c r="B63" s="16" t="s">
        <v>1407</v>
      </c>
      <c r="C63" s="15" t="s">
        <v>1408</v>
      </c>
      <c r="D63" s="15" t="s">
        <v>1082</v>
      </c>
      <c r="E63" s="15" t="s">
        <v>1409</v>
      </c>
      <c r="F63" s="15" t="s">
        <v>1410</v>
      </c>
      <c r="G63" s="15" t="s">
        <v>1411</v>
      </c>
      <c r="H63" s="15" t="s">
        <v>33</v>
      </c>
      <c r="I63" s="15" t="s">
        <v>33</v>
      </c>
      <c r="J63" s="15" t="s">
        <v>33</v>
      </c>
      <c r="K63" s="15" t="s">
        <v>33</v>
      </c>
      <c r="L63" s="15" t="s">
        <v>33</v>
      </c>
      <c r="M63" s="15" t="s">
        <v>33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15">
        <f t="shared" si="25"/>
        <v>1.083333333</v>
      </c>
      <c r="V63" s="15">
        <f>TEXT(F63-E63,"[mm]")/60</f>
        <v>131.45</v>
      </c>
      <c r="W63" s="20" t="s">
        <v>33</v>
      </c>
      <c r="X63" s="20" t="s">
        <v>33</v>
      </c>
      <c r="Y63" s="20" t="s">
        <v>33</v>
      </c>
      <c r="Z63" s="20" t="s">
        <v>33</v>
      </c>
      <c r="AA63" s="20" t="s">
        <v>33</v>
      </c>
      <c r="AB63" s="20" t="s">
        <v>33</v>
      </c>
      <c r="AC63" s="20" t="s">
        <v>33</v>
      </c>
      <c r="AD63" s="15">
        <f t="shared" si="26"/>
        <v>66.26666667</v>
      </c>
      <c r="AE63" s="15" t="s">
        <v>34</v>
      </c>
      <c r="AF63" s="15" t="s">
        <v>35</v>
      </c>
      <c r="AG63" s="15" t="s">
        <v>35</v>
      </c>
      <c r="AH63" s="15">
        <f t="shared" si="1"/>
        <v>10</v>
      </c>
      <c r="AI63" s="15"/>
      <c r="AJ63" s="15" t="s">
        <v>61</v>
      </c>
    </row>
    <row r="64" ht="15.75" customHeight="1">
      <c r="A64" s="15" t="s">
        <v>1138</v>
      </c>
      <c r="B64" s="16" t="s">
        <v>1412</v>
      </c>
      <c r="C64" s="15" t="s">
        <v>1413</v>
      </c>
      <c r="D64" s="15" t="s">
        <v>1414</v>
      </c>
      <c r="E64" s="15" t="s">
        <v>33</v>
      </c>
      <c r="F64" s="15" t="s">
        <v>1415</v>
      </c>
      <c r="G64" s="15" t="s">
        <v>33</v>
      </c>
      <c r="H64" s="15" t="s">
        <v>33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15">
        <f t="shared" si="25"/>
        <v>0.5833333333</v>
      </c>
      <c r="V64" s="20" t="s">
        <v>33</v>
      </c>
      <c r="W64" s="20" t="s">
        <v>33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15">
        <f t="shared" si="26"/>
        <v>0.5833333333</v>
      </c>
      <c r="AE64" s="15" t="s">
        <v>34</v>
      </c>
      <c r="AF64" s="15" t="s">
        <v>35</v>
      </c>
      <c r="AG64" s="15" t="s">
        <v>35</v>
      </c>
      <c r="AH64" s="15">
        <f t="shared" si="1"/>
        <v>10</v>
      </c>
      <c r="AI64" s="15"/>
      <c r="AJ64" s="15" t="s">
        <v>61</v>
      </c>
    </row>
    <row r="65" ht="15.75" customHeight="1">
      <c r="A65" s="15" t="s">
        <v>1138</v>
      </c>
      <c r="B65" s="16" t="s">
        <v>1416</v>
      </c>
      <c r="C65" s="15" t="s">
        <v>1417</v>
      </c>
      <c r="D65" s="15" t="s">
        <v>1418</v>
      </c>
      <c r="E65" s="15" t="s">
        <v>33</v>
      </c>
      <c r="F65" s="15" t="s">
        <v>1419</v>
      </c>
      <c r="G65" s="15" t="s">
        <v>33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si="25"/>
        <v>0.4333333333</v>
      </c>
      <c r="V65" s="20" t="s">
        <v>33</v>
      </c>
      <c r="W65" s="20" t="s">
        <v>33</v>
      </c>
      <c r="X65" s="20" t="s">
        <v>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si="26"/>
        <v>0.4333333333</v>
      </c>
      <c r="AE65" s="15" t="s">
        <v>34</v>
      </c>
      <c r="AF65" s="15" t="s">
        <v>35</v>
      </c>
      <c r="AG65" s="15" t="s">
        <v>35</v>
      </c>
      <c r="AH65" s="15">
        <f t="shared" si="1"/>
        <v>10</v>
      </c>
      <c r="AI65" s="15"/>
      <c r="AJ65" s="15" t="s">
        <v>61</v>
      </c>
    </row>
    <row r="66" ht="15.75" customHeight="1">
      <c r="A66" s="15" t="s">
        <v>1138</v>
      </c>
      <c r="B66" s="16" t="s">
        <v>1420</v>
      </c>
      <c r="C66" s="15" t="s">
        <v>1421</v>
      </c>
      <c r="D66" s="15" t="s">
        <v>1422</v>
      </c>
      <c r="E66" s="15" t="s">
        <v>1423</v>
      </c>
      <c r="F66" s="15" t="s">
        <v>1424</v>
      </c>
      <c r="G66" s="15" t="s">
        <v>1425</v>
      </c>
      <c r="H66" s="15" t="s">
        <v>33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>
        <f t="shared" si="25"/>
        <v>0.03333333333</v>
      </c>
      <c r="V66" s="15">
        <f t="shared" ref="V66:V70" si="27">TEXT(F66-E66,"[mm]")/60</f>
        <v>173.5833333</v>
      </c>
      <c r="W66" s="20" t="s">
        <v>33</v>
      </c>
      <c r="X66" s="20" t="s">
        <v>33</v>
      </c>
      <c r="Y66" s="20" t="s">
        <v>33</v>
      </c>
      <c r="Z66" s="20" t="s">
        <v>33</v>
      </c>
      <c r="AA66" s="20" t="s">
        <v>33</v>
      </c>
      <c r="AB66" s="20" t="s">
        <v>33</v>
      </c>
      <c r="AC66" s="20" t="s">
        <v>33</v>
      </c>
      <c r="AD66" s="15">
        <f t="shared" si="26"/>
        <v>86.80833333</v>
      </c>
      <c r="AE66" s="15" t="s">
        <v>34</v>
      </c>
      <c r="AF66" s="15" t="s">
        <v>35</v>
      </c>
      <c r="AG66" s="15" t="s">
        <v>35</v>
      </c>
      <c r="AH66" s="15">
        <f t="shared" si="1"/>
        <v>10</v>
      </c>
      <c r="AI66" s="15"/>
      <c r="AJ66" s="15" t="s">
        <v>61</v>
      </c>
    </row>
    <row r="67" ht="15.75" customHeight="1">
      <c r="A67" s="15" t="s">
        <v>1138</v>
      </c>
      <c r="B67" s="16" t="s">
        <v>1426</v>
      </c>
      <c r="C67" s="15" t="s">
        <v>1427</v>
      </c>
      <c r="D67" s="15" t="s">
        <v>1428</v>
      </c>
      <c r="E67" s="15" t="s">
        <v>1429</v>
      </c>
      <c r="F67" s="15" t="s">
        <v>1430</v>
      </c>
      <c r="G67" s="15" t="s">
        <v>1431</v>
      </c>
      <c r="H67" s="15" t="s">
        <v>33</v>
      </c>
      <c r="I67" s="15" t="s">
        <v>33</v>
      </c>
      <c r="J67" s="15" t="s">
        <v>33</v>
      </c>
      <c r="K67" s="15" t="s">
        <v>33</v>
      </c>
      <c r="L67" s="15" t="s">
        <v>33</v>
      </c>
      <c r="M67" s="15" t="s">
        <v>33</v>
      </c>
      <c r="N67" s="15" t="s">
        <v>33</v>
      </c>
      <c r="O67" s="15" t="s">
        <v>33</v>
      </c>
      <c r="P67" s="15" t="s">
        <v>33</v>
      </c>
      <c r="Q67" s="15" t="s">
        <v>33</v>
      </c>
      <c r="R67" s="15" t="s">
        <v>33</v>
      </c>
      <c r="S67" s="15" t="s">
        <v>33</v>
      </c>
      <c r="T67" s="15" t="s">
        <v>33</v>
      </c>
      <c r="U67" s="15">
        <f t="shared" si="25"/>
        <v>0.08333333333</v>
      </c>
      <c r="V67" s="15">
        <f t="shared" si="27"/>
        <v>175.2666667</v>
      </c>
      <c r="W67" s="20" t="s">
        <v>33</v>
      </c>
      <c r="X67" s="20" t="s">
        <v>33</v>
      </c>
      <c r="Y67" s="20" t="s">
        <v>33</v>
      </c>
      <c r="Z67" s="20" t="s">
        <v>33</v>
      </c>
      <c r="AA67" s="20" t="s">
        <v>33</v>
      </c>
      <c r="AB67" s="20" t="s">
        <v>33</v>
      </c>
      <c r="AC67" s="20" t="s">
        <v>33</v>
      </c>
      <c r="AD67" s="15">
        <f t="shared" si="26"/>
        <v>87.675</v>
      </c>
      <c r="AE67" s="15" t="s">
        <v>34</v>
      </c>
      <c r="AF67" s="15" t="s">
        <v>35</v>
      </c>
      <c r="AG67" s="15" t="s">
        <v>35</v>
      </c>
      <c r="AH67" s="15">
        <f t="shared" si="1"/>
        <v>10</v>
      </c>
      <c r="AI67" s="15"/>
      <c r="AJ67" s="15" t="s">
        <v>61</v>
      </c>
    </row>
    <row r="68" ht="15.75" customHeight="1">
      <c r="A68" s="15" t="s">
        <v>1138</v>
      </c>
      <c r="B68" s="16" t="s">
        <v>1432</v>
      </c>
      <c r="C68" s="15" t="s">
        <v>1433</v>
      </c>
      <c r="D68" s="15" t="s">
        <v>1434</v>
      </c>
      <c r="E68" s="15" t="s">
        <v>1435</v>
      </c>
      <c r="F68" s="15" t="s">
        <v>1436</v>
      </c>
      <c r="G68" s="15" t="s">
        <v>1437</v>
      </c>
      <c r="H68" s="15" t="s">
        <v>33</v>
      </c>
      <c r="I68" s="15" t="s">
        <v>33</v>
      </c>
      <c r="J68" s="15" t="s">
        <v>33</v>
      </c>
      <c r="K68" s="15" t="s">
        <v>33</v>
      </c>
      <c r="L68" s="15" t="s">
        <v>33</v>
      </c>
      <c r="M68" s="15" t="s">
        <v>33</v>
      </c>
      <c r="N68" s="15" t="s">
        <v>33</v>
      </c>
      <c r="O68" s="15" t="s">
        <v>33</v>
      </c>
      <c r="P68" s="15" t="s">
        <v>33</v>
      </c>
      <c r="Q68" s="15" t="s">
        <v>33</v>
      </c>
      <c r="R68" s="15" t="s">
        <v>33</v>
      </c>
      <c r="S68" s="15" t="s">
        <v>33</v>
      </c>
      <c r="T68" s="15" t="s">
        <v>33</v>
      </c>
      <c r="U68" s="15">
        <f t="shared" si="25"/>
        <v>3.816666667</v>
      </c>
      <c r="V68" s="15">
        <f t="shared" si="27"/>
        <v>0.1166666667</v>
      </c>
      <c r="W68" s="20" t="s">
        <v>33</v>
      </c>
      <c r="X68" s="20" t="s">
        <v>33</v>
      </c>
      <c r="Y68" s="20" t="s">
        <v>33</v>
      </c>
      <c r="Z68" s="20" t="s">
        <v>33</v>
      </c>
      <c r="AA68" s="20" t="s">
        <v>33</v>
      </c>
      <c r="AB68" s="20" t="s">
        <v>33</v>
      </c>
      <c r="AC68" s="20" t="s">
        <v>33</v>
      </c>
      <c r="AD68" s="15">
        <f t="shared" si="26"/>
        <v>1.966666667</v>
      </c>
      <c r="AE68" s="15" t="s">
        <v>34</v>
      </c>
      <c r="AF68" s="15" t="s">
        <v>35</v>
      </c>
      <c r="AG68" s="15" t="s">
        <v>35</v>
      </c>
      <c r="AH68" s="15">
        <f t="shared" si="1"/>
        <v>10</v>
      </c>
      <c r="AI68" s="15"/>
      <c r="AJ68" s="15" t="s">
        <v>61</v>
      </c>
    </row>
    <row r="69" ht="15.75" customHeight="1">
      <c r="A69" s="15" t="s">
        <v>1138</v>
      </c>
      <c r="B69" s="16" t="s">
        <v>1438</v>
      </c>
      <c r="C69" s="15" t="s">
        <v>1439</v>
      </c>
      <c r="D69" s="15" t="s">
        <v>1440</v>
      </c>
      <c r="E69" s="15" t="s">
        <v>1441</v>
      </c>
      <c r="F69" s="15" t="s">
        <v>1442</v>
      </c>
      <c r="G69" s="15" t="s">
        <v>1443</v>
      </c>
      <c r="H69" s="15" t="s">
        <v>1444</v>
      </c>
      <c r="I69" s="15" t="s">
        <v>1445</v>
      </c>
      <c r="J69" s="15" t="s">
        <v>33</v>
      </c>
      <c r="K69" s="15" t="s">
        <v>33</v>
      </c>
      <c r="L69" s="15" t="s">
        <v>33</v>
      </c>
      <c r="M69" s="15" t="s">
        <v>33</v>
      </c>
      <c r="N69" s="15" t="s">
        <v>33</v>
      </c>
      <c r="O69" s="15" t="s">
        <v>33</v>
      </c>
      <c r="P69" s="15" t="s">
        <v>33</v>
      </c>
      <c r="Q69" s="15" t="s">
        <v>33</v>
      </c>
      <c r="R69" s="15" t="s">
        <v>33</v>
      </c>
      <c r="S69" s="15" t="s">
        <v>33</v>
      </c>
      <c r="T69" s="15" t="s">
        <v>33</v>
      </c>
      <c r="U69" s="15">
        <f t="shared" si="25"/>
        <v>0.1833333333</v>
      </c>
      <c r="V69" s="15">
        <f t="shared" si="27"/>
        <v>0.25</v>
      </c>
      <c r="W69" s="15">
        <f>TEXT(H69-G69,"[mm]")/60</f>
        <v>102.8</v>
      </c>
      <c r="X69" s="20" t="s">
        <v>33</v>
      </c>
      <c r="Y69" s="20" t="s">
        <v>33</v>
      </c>
      <c r="Z69" s="20" t="s">
        <v>33</v>
      </c>
      <c r="AA69" s="20" t="s">
        <v>33</v>
      </c>
      <c r="AB69" s="20" t="s">
        <v>33</v>
      </c>
      <c r="AC69" s="20" t="s">
        <v>33</v>
      </c>
      <c r="AD69" s="15">
        <f t="shared" si="26"/>
        <v>34.41111111</v>
      </c>
      <c r="AE69" s="15" t="s">
        <v>34</v>
      </c>
      <c r="AF69" s="15" t="s">
        <v>35</v>
      </c>
      <c r="AG69" s="15" t="s">
        <v>35</v>
      </c>
      <c r="AH69" s="15">
        <f t="shared" si="1"/>
        <v>10</v>
      </c>
      <c r="AI69" s="15"/>
      <c r="AJ69" s="15" t="s">
        <v>61</v>
      </c>
    </row>
    <row r="70" ht="15.75" customHeight="1">
      <c r="A70" s="15" t="s">
        <v>1138</v>
      </c>
      <c r="B70" s="16" t="s">
        <v>1446</v>
      </c>
      <c r="C70" s="15" t="s">
        <v>1447</v>
      </c>
      <c r="D70" s="15" t="s">
        <v>1448</v>
      </c>
      <c r="E70" s="15" t="s">
        <v>1449</v>
      </c>
      <c r="F70" s="15" t="s">
        <v>1450</v>
      </c>
      <c r="G70" s="15" t="s">
        <v>1451</v>
      </c>
      <c r="H70" s="15" t="s">
        <v>33</v>
      </c>
      <c r="I70" s="15" t="s">
        <v>33</v>
      </c>
      <c r="J70" s="15" t="s">
        <v>33</v>
      </c>
      <c r="K70" s="15" t="s">
        <v>33</v>
      </c>
      <c r="L70" s="15" t="s">
        <v>33</v>
      </c>
      <c r="M70" s="15" t="s">
        <v>33</v>
      </c>
      <c r="N70" s="15" t="s">
        <v>33</v>
      </c>
      <c r="O70" s="15" t="s">
        <v>33</v>
      </c>
      <c r="P70" s="15" t="s">
        <v>33</v>
      </c>
      <c r="Q70" s="15" t="s">
        <v>33</v>
      </c>
      <c r="R70" s="15" t="s">
        <v>33</v>
      </c>
      <c r="S70" s="15" t="s">
        <v>33</v>
      </c>
      <c r="T70" s="15" t="s">
        <v>33</v>
      </c>
      <c r="U70" s="15">
        <f t="shared" si="25"/>
        <v>0.06666666667</v>
      </c>
      <c r="V70" s="15">
        <f t="shared" si="27"/>
        <v>48.15</v>
      </c>
      <c r="W70" s="20" t="s">
        <v>33</v>
      </c>
      <c r="X70" s="20" t="s">
        <v>33</v>
      </c>
      <c r="Y70" s="20" t="s">
        <v>33</v>
      </c>
      <c r="Z70" s="20" t="s">
        <v>33</v>
      </c>
      <c r="AA70" s="20" t="s">
        <v>33</v>
      </c>
      <c r="AB70" s="20" t="s">
        <v>33</v>
      </c>
      <c r="AC70" s="20" t="s">
        <v>33</v>
      </c>
      <c r="AD70" s="15">
        <f t="shared" si="26"/>
        <v>24.10833333</v>
      </c>
      <c r="AE70" s="15" t="s">
        <v>34</v>
      </c>
      <c r="AF70" s="15" t="s">
        <v>35</v>
      </c>
      <c r="AG70" s="15" t="s">
        <v>35</v>
      </c>
      <c r="AH70" s="15">
        <f t="shared" si="1"/>
        <v>10</v>
      </c>
      <c r="AI70" s="15"/>
      <c r="AJ70" s="15" t="s">
        <v>61</v>
      </c>
    </row>
    <row r="71" ht="15.75" customHeight="1">
      <c r="A71" s="15" t="s">
        <v>1138</v>
      </c>
      <c r="B71" s="16" t="s">
        <v>1452</v>
      </c>
      <c r="C71" s="15" t="s">
        <v>1453</v>
      </c>
      <c r="D71" s="15" t="s">
        <v>33</v>
      </c>
      <c r="E71" s="15" t="s">
        <v>33</v>
      </c>
      <c r="F71" s="15" t="s">
        <v>33</v>
      </c>
      <c r="G71" s="15" t="s">
        <v>33</v>
      </c>
      <c r="H71" s="15" t="s">
        <v>33</v>
      </c>
      <c r="I71" s="15" t="s">
        <v>33</v>
      </c>
      <c r="J71" s="15" t="s">
        <v>33</v>
      </c>
      <c r="K71" s="15" t="s">
        <v>33</v>
      </c>
      <c r="L71" s="15" t="s">
        <v>33</v>
      </c>
      <c r="M71" s="15" t="s">
        <v>33</v>
      </c>
      <c r="N71" s="15" t="s">
        <v>33</v>
      </c>
      <c r="O71" s="15" t="s">
        <v>33</v>
      </c>
      <c r="P71" s="15" t="s">
        <v>33</v>
      </c>
      <c r="Q71" s="15" t="s">
        <v>33</v>
      </c>
      <c r="R71" s="15" t="s">
        <v>33</v>
      </c>
      <c r="S71" s="15" t="s">
        <v>33</v>
      </c>
      <c r="T71" s="15" t="s">
        <v>33</v>
      </c>
      <c r="U71" s="20" t="s">
        <v>33</v>
      </c>
      <c r="V71" s="20" t="s">
        <v>33</v>
      </c>
      <c r="W71" s="20" t="s">
        <v>33</v>
      </c>
      <c r="X71" s="20" t="s">
        <v>33</v>
      </c>
      <c r="Y71" s="20" t="s">
        <v>33</v>
      </c>
      <c r="Z71" s="20" t="s">
        <v>33</v>
      </c>
      <c r="AA71" s="20" t="s">
        <v>33</v>
      </c>
      <c r="AB71" s="20" t="s">
        <v>33</v>
      </c>
      <c r="AC71" s="20" t="s">
        <v>33</v>
      </c>
      <c r="AD71" s="20" t="s">
        <v>33</v>
      </c>
      <c r="AE71" s="15" t="s">
        <v>35</v>
      </c>
      <c r="AF71" s="15" t="s">
        <v>35</v>
      </c>
      <c r="AG71" s="15" t="s">
        <v>35</v>
      </c>
      <c r="AH71" s="15">
        <f t="shared" si="1"/>
        <v>-15</v>
      </c>
      <c r="AI71" s="15"/>
      <c r="AJ71" s="15" t="s">
        <v>61</v>
      </c>
    </row>
    <row r="72" ht="15.75" customHeight="1">
      <c r="A72" s="15" t="s">
        <v>1138</v>
      </c>
      <c r="B72" s="16" t="s">
        <v>1454</v>
      </c>
      <c r="C72" s="15" t="s">
        <v>1455</v>
      </c>
      <c r="D72" s="15" t="s">
        <v>33</v>
      </c>
      <c r="E72" s="15" t="s">
        <v>1456</v>
      </c>
      <c r="F72" s="15" t="s">
        <v>33</v>
      </c>
      <c r="G72" s="15" t="s">
        <v>33</v>
      </c>
      <c r="H72" s="15" t="s">
        <v>33</v>
      </c>
      <c r="I72" s="15" t="s">
        <v>33</v>
      </c>
      <c r="J72" s="15" t="s">
        <v>33</v>
      </c>
      <c r="K72" s="15" t="s">
        <v>33</v>
      </c>
      <c r="L72" s="15" t="s">
        <v>33</v>
      </c>
      <c r="M72" s="15" t="s">
        <v>33</v>
      </c>
      <c r="N72" s="15" t="s">
        <v>33</v>
      </c>
      <c r="O72" s="15" t="s">
        <v>33</v>
      </c>
      <c r="P72" s="15" t="s">
        <v>33</v>
      </c>
      <c r="Q72" s="15" t="s">
        <v>33</v>
      </c>
      <c r="R72" s="15" t="s">
        <v>33</v>
      </c>
      <c r="S72" s="15" t="s">
        <v>33</v>
      </c>
      <c r="T72" s="15" t="s">
        <v>33</v>
      </c>
      <c r="U72" s="20" t="s">
        <v>33</v>
      </c>
      <c r="V72" s="20" t="s">
        <v>33</v>
      </c>
      <c r="W72" s="20" t="s">
        <v>33</v>
      </c>
      <c r="X72" s="20" t="s">
        <v>33</v>
      </c>
      <c r="Y72" s="20" t="s">
        <v>33</v>
      </c>
      <c r="Z72" s="20" t="s">
        <v>33</v>
      </c>
      <c r="AA72" s="20" t="s">
        <v>33</v>
      </c>
      <c r="AB72" s="20" t="s">
        <v>33</v>
      </c>
      <c r="AC72" s="20" t="s">
        <v>33</v>
      </c>
      <c r="AD72" s="20" t="s">
        <v>33</v>
      </c>
      <c r="AE72" s="15" t="s">
        <v>35</v>
      </c>
      <c r="AF72" s="15" t="s">
        <v>35</v>
      </c>
      <c r="AG72" s="15" t="s">
        <v>35</v>
      </c>
      <c r="AH72" s="15">
        <f t="shared" si="1"/>
        <v>-15</v>
      </c>
      <c r="AI72" s="15"/>
      <c r="AJ72" s="15" t="s">
        <v>61</v>
      </c>
    </row>
    <row r="73" ht="15.75" customHeight="1">
      <c r="A73" s="15" t="s">
        <v>1138</v>
      </c>
      <c r="B73" s="16" t="s">
        <v>1457</v>
      </c>
      <c r="C73" s="15" t="s">
        <v>1458</v>
      </c>
      <c r="D73" s="15" t="s">
        <v>1459</v>
      </c>
      <c r="E73" s="15" t="s">
        <v>1460</v>
      </c>
      <c r="F73" s="31">
        <v>46132.69652777778</v>
      </c>
      <c r="G73" s="19">
        <v>46128.575</v>
      </c>
      <c r="H73" s="19">
        <v>46132.69861111111</v>
      </c>
      <c r="I73" s="15" t="s">
        <v>33</v>
      </c>
      <c r="J73" s="15" t="s">
        <v>1461</v>
      </c>
      <c r="K73" s="15" t="s">
        <v>33</v>
      </c>
      <c r="L73" s="15" t="s">
        <v>1462</v>
      </c>
      <c r="M73" s="15" t="s">
        <v>33</v>
      </c>
      <c r="N73" s="15" t="s">
        <v>33</v>
      </c>
      <c r="O73" s="15" t="s">
        <v>33</v>
      </c>
      <c r="P73" s="15" t="s">
        <v>33</v>
      </c>
      <c r="Q73" s="15" t="s">
        <v>33</v>
      </c>
      <c r="R73" s="15" t="s">
        <v>33</v>
      </c>
      <c r="S73" s="15" t="s">
        <v>33</v>
      </c>
      <c r="T73" s="15" t="s">
        <v>33</v>
      </c>
      <c r="U73" s="15">
        <f>TEXT(D73-C73,"[mm]")/60</f>
        <v>0.1333333333</v>
      </c>
      <c r="V73" s="15">
        <f>TEXT(F73-E73,"[mm]")/60</f>
        <v>100.9166667</v>
      </c>
      <c r="W73" s="15">
        <f>TEXT(H73-G73,"[mm]")/60</f>
        <v>98.96666667</v>
      </c>
      <c r="X73" s="20" t="s">
        <v>33</v>
      </c>
      <c r="Y73" s="20" t="s">
        <v>33</v>
      </c>
      <c r="Z73" s="20" t="s">
        <v>33</v>
      </c>
      <c r="AA73" s="20" t="s">
        <v>33</v>
      </c>
      <c r="AB73" s="20" t="s">
        <v>33</v>
      </c>
      <c r="AC73" s="20" t="s">
        <v>33</v>
      </c>
      <c r="AD73" s="15">
        <f>AVERAGE(U73:AC73)</f>
        <v>66.67222222</v>
      </c>
      <c r="AE73" s="15" t="s">
        <v>34</v>
      </c>
      <c r="AF73" s="15" t="s">
        <v>35</v>
      </c>
      <c r="AG73" s="15" t="s">
        <v>35</v>
      </c>
      <c r="AH73" s="15">
        <f t="shared" si="1"/>
        <v>10</v>
      </c>
      <c r="AI73" s="15"/>
      <c r="AJ73" s="15" t="s">
        <v>61</v>
      </c>
    </row>
    <row r="74" ht="15.75" customHeight="1">
      <c r="A74" s="15" t="s">
        <v>1138</v>
      </c>
      <c r="B74" s="16" t="s">
        <v>1463</v>
      </c>
      <c r="C74" s="15" t="s">
        <v>1464</v>
      </c>
      <c r="D74" s="15" t="s">
        <v>33</v>
      </c>
      <c r="E74" s="15" t="s">
        <v>33</v>
      </c>
      <c r="F74" s="15" t="s">
        <v>33</v>
      </c>
      <c r="G74" s="15" t="s">
        <v>33</v>
      </c>
      <c r="H74" s="15" t="s">
        <v>33</v>
      </c>
      <c r="I74" s="15" t="s">
        <v>33</v>
      </c>
      <c r="J74" s="15" t="s">
        <v>33</v>
      </c>
      <c r="K74" s="15" t="s">
        <v>33</v>
      </c>
      <c r="L74" s="15" t="s">
        <v>33</v>
      </c>
      <c r="M74" s="15" t="s">
        <v>33</v>
      </c>
      <c r="N74" s="15" t="s">
        <v>33</v>
      </c>
      <c r="O74" s="15" t="s">
        <v>33</v>
      </c>
      <c r="P74" s="15" t="s">
        <v>33</v>
      </c>
      <c r="Q74" s="15" t="s">
        <v>33</v>
      </c>
      <c r="R74" s="15" t="s">
        <v>33</v>
      </c>
      <c r="S74" s="15" t="s">
        <v>33</v>
      </c>
      <c r="T74" s="15" t="s">
        <v>33</v>
      </c>
      <c r="U74" s="20" t="s">
        <v>33</v>
      </c>
      <c r="V74" s="20" t="s">
        <v>33</v>
      </c>
      <c r="W74" s="20" t="s">
        <v>33</v>
      </c>
      <c r="X74" s="20" t="s">
        <v>33</v>
      </c>
      <c r="Y74" s="20" t="s">
        <v>33</v>
      </c>
      <c r="Z74" s="20" t="s">
        <v>33</v>
      </c>
      <c r="AA74" s="20" t="s">
        <v>33</v>
      </c>
      <c r="AB74" s="20" t="s">
        <v>33</v>
      </c>
      <c r="AC74" s="20" t="s">
        <v>33</v>
      </c>
      <c r="AD74" s="20" t="s">
        <v>33</v>
      </c>
      <c r="AE74" s="15" t="s">
        <v>35</v>
      </c>
      <c r="AF74" s="15" t="s">
        <v>35</v>
      </c>
      <c r="AG74" s="15" t="s">
        <v>35</v>
      </c>
      <c r="AH74" s="15">
        <f t="shared" si="1"/>
        <v>-15</v>
      </c>
      <c r="AI74" s="15"/>
      <c r="AJ74" s="15" t="s">
        <v>61</v>
      </c>
    </row>
    <row r="75" ht="15.75" customHeight="1">
      <c r="A75" s="15" t="s">
        <v>1138</v>
      </c>
      <c r="B75" s="16" t="s">
        <v>1465</v>
      </c>
      <c r="C75" s="15" t="s">
        <v>1466</v>
      </c>
      <c r="D75" s="15" t="s">
        <v>1467</v>
      </c>
      <c r="E75" s="15" t="s">
        <v>1468</v>
      </c>
      <c r="F75" s="15" t="s">
        <v>1469</v>
      </c>
      <c r="G75" s="15" t="s">
        <v>1470</v>
      </c>
      <c r="H75" s="15" t="s">
        <v>33</v>
      </c>
      <c r="I75" s="15" t="s">
        <v>33</v>
      </c>
      <c r="J75" s="15" t="s">
        <v>33</v>
      </c>
      <c r="K75" s="15" t="s">
        <v>33</v>
      </c>
      <c r="L75" s="15" t="s">
        <v>33</v>
      </c>
      <c r="M75" s="15" t="s">
        <v>33</v>
      </c>
      <c r="N75" s="15" t="s">
        <v>33</v>
      </c>
      <c r="O75" s="15" t="s">
        <v>33</v>
      </c>
      <c r="P75" s="15" t="s">
        <v>33</v>
      </c>
      <c r="Q75" s="15" t="s">
        <v>33</v>
      </c>
      <c r="R75" s="15" t="s">
        <v>33</v>
      </c>
      <c r="S75" s="15" t="s">
        <v>33</v>
      </c>
      <c r="T75" s="15" t="s">
        <v>33</v>
      </c>
      <c r="U75" s="15">
        <f>TEXT(D75-C75,"[mm]")/60</f>
        <v>0.3666666667</v>
      </c>
      <c r="V75" s="15">
        <f>TEXT(F75-E75,"[mm]")/60</f>
        <v>194.1166667</v>
      </c>
      <c r="W75" s="20" t="s">
        <v>33</v>
      </c>
      <c r="X75" s="20" t="s">
        <v>33</v>
      </c>
      <c r="Y75" s="20" t="s">
        <v>33</v>
      </c>
      <c r="Z75" s="20" t="s">
        <v>33</v>
      </c>
      <c r="AA75" s="20" t="s">
        <v>33</v>
      </c>
      <c r="AB75" s="20" t="s">
        <v>33</v>
      </c>
      <c r="AC75" s="20" t="s">
        <v>33</v>
      </c>
      <c r="AD75" s="15">
        <f>AVERAGE(U75:AC75)</f>
        <v>97.24166667</v>
      </c>
      <c r="AE75" s="15" t="s">
        <v>34</v>
      </c>
      <c r="AF75" s="15" t="s">
        <v>35</v>
      </c>
      <c r="AG75" s="15" t="s">
        <v>35</v>
      </c>
      <c r="AH75" s="15">
        <f t="shared" si="1"/>
        <v>10</v>
      </c>
      <c r="AI75" s="15"/>
      <c r="AJ75" s="15" t="s">
        <v>61</v>
      </c>
    </row>
    <row r="76" ht="15.75" customHeight="1">
      <c r="A76" s="15" t="s">
        <v>1138</v>
      </c>
      <c r="B76" s="16" t="s">
        <v>1471</v>
      </c>
      <c r="C76" s="15" t="s">
        <v>1472</v>
      </c>
      <c r="D76" s="15" t="s">
        <v>33</v>
      </c>
      <c r="E76" s="15" t="s">
        <v>33</v>
      </c>
      <c r="F76" s="15" t="s">
        <v>33</v>
      </c>
      <c r="G76" s="15" t="s">
        <v>33</v>
      </c>
      <c r="H76" s="15" t="s">
        <v>33</v>
      </c>
      <c r="I76" s="15" t="s">
        <v>33</v>
      </c>
      <c r="J76" s="15" t="s">
        <v>33</v>
      </c>
      <c r="K76" s="15" t="s">
        <v>33</v>
      </c>
      <c r="L76" s="15" t="s">
        <v>33</v>
      </c>
      <c r="M76" s="15" t="s">
        <v>33</v>
      </c>
      <c r="N76" s="15" t="s">
        <v>33</v>
      </c>
      <c r="O76" s="15" t="s">
        <v>33</v>
      </c>
      <c r="P76" s="15" t="s">
        <v>33</v>
      </c>
      <c r="Q76" s="15" t="s">
        <v>33</v>
      </c>
      <c r="R76" s="15" t="s">
        <v>33</v>
      </c>
      <c r="S76" s="15" t="s">
        <v>33</v>
      </c>
      <c r="T76" s="15" t="s">
        <v>33</v>
      </c>
      <c r="U76" s="20" t="s">
        <v>33</v>
      </c>
      <c r="V76" s="20" t="s">
        <v>33</v>
      </c>
      <c r="W76" s="20" t="s">
        <v>33</v>
      </c>
      <c r="X76" s="20" t="s">
        <v>33</v>
      </c>
      <c r="Y76" s="20" t="s">
        <v>33</v>
      </c>
      <c r="Z76" s="20" t="s">
        <v>33</v>
      </c>
      <c r="AA76" s="20" t="s">
        <v>33</v>
      </c>
      <c r="AB76" s="20" t="s">
        <v>33</v>
      </c>
      <c r="AC76" s="20" t="s">
        <v>33</v>
      </c>
      <c r="AD76" s="20" t="s">
        <v>33</v>
      </c>
      <c r="AE76" s="15" t="s">
        <v>35</v>
      </c>
      <c r="AF76" s="15" t="s">
        <v>35</v>
      </c>
      <c r="AG76" s="15" t="s">
        <v>35</v>
      </c>
      <c r="AH76" s="15">
        <f t="shared" si="1"/>
        <v>-15</v>
      </c>
      <c r="AI76" s="15"/>
      <c r="AJ76" s="15" t="s">
        <v>61</v>
      </c>
    </row>
    <row r="77" ht="15.75" customHeight="1">
      <c r="A77" s="15" t="s">
        <v>1138</v>
      </c>
      <c r="B77" s="16" t="s">
        <v>1473</v>
      </c>
      <c r="C77" s="15" t="s">
        <v>1474</v>
      </c>
      <c r="D77" s="15" t="s">
        <v>33</v>
      </c>
      <c r="E77" s="15" t="s">
        <v>33</v>
      </c>
      <c r="F77" s="15" t="s">
        <v>33</v>
      </c>
      <c r="G77" s="15" t="s">
        <v>33</v>
      </c>
      <c r="H77" s="15" t="s">
        <v>33</v>
      </c>
      <c r="I77" s="15" t="s">
        <v>33</v>
      </c>
      <c r="J77" s="15" t="s">
        <v>33</v>
      </c>
      <c r="K77" s="15" t="s">
        <v>33</v>
      </c>
      <c r="L77" s="15" t="s">
        <v>33</v>
      </c>
      <c r="M77" s="15" t="s">
        <v>33</v>
      </c>
      <c r="N77" s="15" t="s">
        <v>33</v>
      </c>
      <c r="O77" s="15" t="s">
        <v>33</v>
      </c>
      <c r="P77" s="15" t="s">
        <v>33</v>
      </c>
      <c r="Q77" s="15" t="s">
        <v>33</v>
      </c>
      <c r="R77" s="15" t="s">
        <v>33</v>
      </c>
      <c r="S77" s="15" t="s">
        <v>33</v>
      </c>
      <c r="T77" s="15" t="s">
        <v>33</v>
      </c>
      <c r="U77" s="20" t="s">
        <v>33</v>
      </c>
      <c r="V77" s="20" t="s">
        <v>33</v>
      </c>
      <c r="W77" s="20" t="s">
        <v>33</v>
      </c>
      <c r="X77" s="20" t="s">
        <v>33</v>
      </c>
      <c r="Y77" s="20" t="s">
        <v>33</v>
      </c>
      <c r="Z77" s="20" t="s">
        <v>33</v>
      </c>
      <c r="AA77" s="20" t="s">
        <v>33</v>
      </c>
      <c r="AB77" s="20" t="s">
        <v>33</v>
      </c>
      <c r="AC77" s="20" t="s">
        <v>33</v>
      </c>
      <c r="AD77" s="20" t="s">
        <v>33</v>
      </c>
      <c r="AE77" s="15" t="s">
        <v>35</v>
      </c>
      <c r="AF77" s="15" t="s">
        <v>35</v>
      </c>
      <c r="AG77" s="15" t="s">
        <v>35</v>
      </c>
      <c r="AH77" s="15">
        <f t="shared" si="1"/>
        <v>-15</v>
      </c>
      <c r="AI77" s="15"/>
      <c r="AJ77" s="15" t="s">
        <v>61</v>
      </c>
    </row>
    <row r="78" ht="15.75" customHeight="1">
      <c r="A78" s="15" t="s">
        <v>1138</v>
      </c>
      <c r="B78" s="16" t="s">
        <v>1475</v>
      </c>
      <c r="C78" s="15" t="s">
        <v>1476</v>
      </c>
      <c r="D78" s="15" t="s">
        <v>1477</v>
      </c>
      <c r="E78" s="15" t="s">
        <v>33</v>
      </c>
      <c r="F78" s="15" t="s">
        <v>33</v>
      </c>
      <c r="G78" s="15" t="s">
        <v>33</v>
      </c>
      <c r="H78" s="15" t="s">
        <v>33</v>
      </c>
      <c r="I78" s="15" t="s">
        <v>33</v>
      </c>
      <c r="J78" s="15" t="s">
        <v>33</v>
      </c>
      <c r="K78" s="15" t="s">
        <v>33</v>
      </c>
      <c r="L78" s="15" t="s">
        <v>33</v>
      </c>
      <c r="M78" s="15" t="s">
        <v>33</v>
      </c>
      <c r="N78" s="15" t="s">
        <v>33</v>
      </c>
      <c r="O78" s="15" t="s">
        <v>33</v>
      </c>
      <c r="P78" s="15" t="s">
        <v>33</v>
      </c>
      <c r="Q78" s="15" t="s">
        <v>33</v>
      </c>
      <c r="R78" s="15" t="s">
        <v>33</v>
      </c>
      <c r="S78" s="15" t="s">
        <v>33</v>
      </c>
      <c r="T78" s="15" t="s">
        <v>33</v>
      </c>
      <c r="U78" s="15">
        <f t="shared" ref="U78:U79" si="28">TEXT(D78-C78,"[mm]")/60</f>
        <v>10.43333333</v>
      </c>
      <c r="V78" s="20" t="s">
        <v>33</v>
      </c>
      <c r="W78" s="20" t="s">
        <v>33</v>
      </c>
      <c r="X78" s="20" t="s">
        <v>33</v>
      </c>
      <c r="Y78" s="20" t="s">
        <v>33</v>
      </c>
      <c r="Z78" s="20" t="s">
        <v>33</v>
      </c>
      <c r="AA78" s="20" t="s">
        <v>33</v>
      </c>
      <c r="AB78" s="20" t="s">
        <v>33</v>
      </c>
      <c r="AC78" s="20" t="s">
        <v>33</v>
      </c>
      <c r="AD78" s="15">
        <f t="shared" ref="AD78:AD79" si="29">AVERAGE(U78:AC78)</f>
        <v>10.43333333</v>
      </c>
      <c r="AE78" s="15" t="s">
        <v>34</v>
      </c>
      <c r="AF78" s="15" t="s">
        <v>35</v>
      </c>
      <c r="AG78" s="15" t="s">
        <v>35</v>
      </c>
      <c r="AH78" s="15">
        <f t="shared" si="1"/>
        <v>10</v>
      </c>
      <c r="AI78" s="15"/>
      <c r="AJ78" s="15" t="s">
        <v>61</v>
      </c>
    </row>
    <row r="79" ht="15.75" customHeight="1">
      <c r="A79" s="15" t="s">
        <v>1138</v>
      </c>
      <c r="B79" s="16" t="s">
        <v>1478</v>
      </c>
      <c r="C79" s="15" t="s">
        <v>1479</v>
      </c>
      <c r="D79" s="15" t="s">
        <v>1480</v>
      </c>
      <c r="E79" s="15" t="s">
        <v>33</v>
      </c>
      <c r="F79" s="15" t="s">
        <v>1481</v>
      </c>
      <c r="G79" s="15" t="s">
        <v>33</v>
      </c>
      <c r="H79" s="15" t="s">
        <v>1482</v>
      </c>
      <c r="I79" s="15" t="s">
        <v>33</v>
      </c>
      <c r="J79" s="15" t="s">
        <v>33</v>
      </c>
      <c r="K79" s="15" t="s">
        <v>33</v>
      </c>
      <c r="L79" s="15" t="s">
        <v>33</v>
      </c>
      <c r="M79" s="15" t="s">
        <v>33</v>
      </c>
      <c r="N79" s="15" t="s">
        <v>33</v>
      </c>
      <c r="O79" s="15" t="s">
        <v>33</v>
      </c>
      <c r="P79" s="15" t="s">
        <v>33</v>
      </c>
      <c r="Q79" s="15" t="s">
        <v>33</v>
      </c>
      <c r="R79" s="15" t="s">
        <v>33</v>
      </c>
      <c r="S79" s="15" t="s">
        <v>33</v>
      </c>
      <c r="T79" s="15" t="s">
        <v>33</v>
      </c>
      <c r="U79" s="15">
        <f t="shared" si="28"/>
        <v>1.216666667</v>
      </c>
      <c r="V79" s="20" t="s">
        <v>33</v>
      </c>
      <c r="W79" s="20" t="s">
        <v>33</v>
      </c>
      <c r="X79" s="20" t="s">
        <v>33</v>
      </c>
      <c r="Y79" s="20" t="s">
        <v>33</v>
      </c>
      <c r="Z79" s="20" t="s">
        <v>33</v>
      </c>
      <c r="AA79" s="20" t="s">
        <v>33</v>
      </c>
      <c r="AB79" s="20" t="s">
        <v>33</v>
      </c>
      <c r="AC79" s="20" t="s">
        <v>33</v>
      </c>
      <c r="AD79" s="15">
        <f t="shared" si="29"/>
        <v>1.216666667</v>
      </c>
      <c r="AE79" s="15" t="s">
        <v>34</v>
      </c>
      <c r="AF79" s="15" t="s">
        <v>35</v>
      </c>
      <c r="AG79" s="15" t="s">
        <v>35</v>
      </c>
      <c r="AH79" s="15">
        <f t="shared" si="1"/>
        <v>10</v>
      </c>
      <c r="AI79" s="15"/>
      <c r="AJ79" s="15" t="s">
        <v>61</v>
      </c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>
        <f>AVERAGE(AD3:AD79)</f>
        <v>17.72709936</v>
      </c>
      <c r="AE80" s="22"/>
      <c r="AF80" s="22"/>
      <c r="AG80" s="22"/>
      <c r="AH80" s="22">
        <f>SUM(AH3:AH79)</f>
        <v>170</v>
      </c>
      <c r="AI80" s="22"/>
      <c r="AJ80" s="22"/>
    </row>
    <row r="81" ht="15.75" customHeight="1">
      <c r="A81" s="22"/>
      <c r="B81" s="22"/>
      <c r="C81" s="22"/>
      <c r="D81" s="22"/>
      <c r="E81" s="22"/>
      <c r="F81" s="3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</hyperlinks>
  <printOptions/>
  <pageMargins bottom="1.0" footer="0.0" header="0.0" left="0.75" right="0.75" top="1.0"/>
  <pageSetup orientation="landscape"/>
  <drawing r:id="rId7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4.57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1483</v>
      </c>
      <c r="B3" s="16" t="s">
        <v>1484</v>
      </c>
      <c r="C3" s="15" t="s">
        <v>1485</v>
      </c>
      <c r="D3" s="15" t="s">
        <v>1486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9" si="1">TEXT(D3-C3,"[mm]")/60</f>
        <v>12.41666667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9" si="2">AVERAGE(U3:AC3)</f>
        <v>12.41666667</v>
      </c>
      <c r="AE3" s="15" t="s">
        <v>34</v>
      </c>
      <c r="AF3" s="15" t="s">
        <v>35</v>
      </c>
      <c r="AG3" s="15" t="s">
        <v>35</v>
      </c>
      <c r="AH3" s="15">
        <f t="shared" ref="AH3:AH66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1483</v>
      </c>
      <c r="B4" s="16" t="s">
        <v>1487</v>
      </c>
      <c r="C4" s="15" t="s">
        <v>1488</v>
      </c>
      <c r="D4" s="15" t="s">
        <v>1489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1.016666667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1.016666667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1483</v>
      </c>
      <c r="B5" s="16" t="s">
        <v>1490</v>
      </c>
      <c r="C5" s="15" t="s">
        <v>1491</v>
      </c>
      <c r="D5" s="15" t="s">
        <v>1492</v>
      </c>
      <c r="E5" s="15" t="s">
        <v>1493</v>
      </c>
      <c r="F5" s="15" t="s">
        <v>1494</v>
      </c>
      <c r="G5" s="15" t="s">
        <v>1495</v>
      </c>
      <c r="H5" s="15" t="s">
        <v>1496</v>
      </c>
      <c r="I5" s="15" t="s">
        <v>1497</v>
      </c>
      <c r="J5" s="15" t="s">
        <v>1498</v>
      </c>
      <c r="K5" s="15" t="s">
        <v>1499</v>
      </c>
      <c r="L5" s="15" t="s">
        <v>1500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1"/>
        <v>0.08333333333</v>
      </c>
      <c r="V5" s="15">
        <f>TEXT(F5-E5,"[mm]")/60</f>
        <v>18.01666667</v>
      </c>
      <c r="W5" s="15">
        <f>TEXT(H5-G5,"[mm]")/60</f>
        <v>109.6666667</v>
      </c>
      <c r="X5" s="15">
        <f>TEXT(J5-I5,"[mm]")/60</f>
        <v>116.1333333</v>
      </c>
      <c r="Y5" s="15">
        <f>TEXT(L5-K5,"[mm]")/60</f>
        <v>401.9666667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2"/>
        <v>129.1733333</v>
      </c>
      <c r="AE5" s="15" t="s">
        <v>34</v>
      </c>
      <c r="AF5" s="15" t="s">
        <v>35</v>
      </c>
      <c r="AG5" s="15" t="s">
        <v>35</v>
      </c>
      <c r="AH5" s="15">
        <f t="shared" si="3"/>
        <v>10</v>
      </c>
      <c r="AI5" s="15"/>
      <c r="AJ5" s="15" t="s">
        <v>61</v>
      </c>
    </row>
    <row r="6" ht="15.75" customHeight="1">
      <c r="A6" s="15" t="s">
        <v>1483</v>
      </c>
      <c r="B6" s="16" t="s">
        <v>1501</v>
      </c>
      <c r="C6" s="15" t="s">
        <v>1502</v>
      </c>
      <c r="D6" s="15" t="s">
        <v>610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0.3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2"/>
        <v>0.3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1483</v>
      </c>
      <c r="B7" s="16" t="s">
        <v>1503</v>
      </c>
      <c r="C7" s="15" t="s">
        <v>1504</v>
      </c>
      <c r="D7" s="15" t="s">
        <v>1505</v>
      </c>
      <c r="E7" s="15" t="s">
        <v>1506</v>
      </c>
      <c r="F7" s="15" t="s">
        <v>1507</v>
      </c>
      <c r="G7" s="15" t="s">
        <v>1508</v>
      </c>
      <c r="H7" s="15" t="s">
        <v>1509</v>
      </c>
      <c r="I7" s="15" t="s">
        <v>1510</v>
      </c>
      <c r="J7" s="15" t="s">
        <v>33</v>
      </c>
      <c r="K7" s="15" t="s">
        <v>1511</v>
      </c>
      <c r="L7" s="15" t="s">
        <v>33</v>
      </c>
      <c r="M7" s="15" t="s">
        <v>1512</v>
      </c>
      <c r="N7" s="15" t="s">
        <v>33</v>
      </c>
      <c r="O7" s="15" t="s">
        <v>1513</v>
      </c>
      <c r="P7" s="15" t="s">
        <v>33</v>
      </c>
      <c r="Q7" s="15" t="s">
        <v>1514</v>
      </c>
      <c r="R7" s="15" t="s">
        <v>33</v>
      </c>
      <c r="S7" s="15" t="s">
        <v>33</v>
      </c>
      <c r="T7" s="15" t="s">
        <v>33</v>
      </c>
      <c r="U7" s="15">
        <f t="shared" si="1"/>
        <v>0.8</v>
      </c>
      <c r="V7" s="15">
        <f>TEXT(F7-E7,"[mm]")/60</f>
        <v>23.71666667</v>
      </c>
      <c r="W7" s="15">
        <f>TEXT(H7-G7,"[mm]")/60</f>
        <v>121.6333333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2"/>
        <v>48.71666667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1483</v>
      </c>
      <c r="B8" s="16" t="s">
        <v>1515</v>
      </c>
      <c r="C8" s="15" t="s">
        <v>1516</v>
      </c>
      <c r="D8" s="15" t="s">
        <v>1517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1"/>
        <v>1.583333333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2"/>
        <v>1.583333333</v>
      </c>
      <c r="AE8" s="15" t="s">
        <v>34</v>
      </c>
      <c r="AF8" s="15" t="s">
        <v>35</v>
      </c>
      <c r="AG8" s="15" t="s">
        <v>35</v>
      </c>
      <c r="AH8" s="15">
        <f t="shared" si="3"/>
        <v>10</v>
      </c>
      <c r="AI8" s="15"/>
      <c r="AJ8" s="15" t="s">
        <v>61</v>
      </c>
    </row>
    <row r="9" ht="15.75" customHeight="1">
      <c r="A9" s="15" t="s">
        <v>1483</v>
      </c>
      <c r="B9" s="16" t="s">
        <v>1518</v>
      </c>
      <c r="C9" s="15" t="s">
        <v>1519</v>
      </c>
      <c r="D9" s="15" t="s">
        <v>1520</v>
      </c>
      <c r="E9" s="15" t="s">
        <v>1521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1"/>
        <v>11.6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2"/>
        <v>11.6</v>
      </c>
      <c r="AE9" s="15" t="s">
        <v>34</v>
      </c>
      <c r="AF9" s="15" t="s">
        <v>35</v>
      </c>
      <c r="AG9" s="15" t="s">
        <v>35</v>
      </c>
      <c r="AH9" s="15">
        <f t="shared" si="3"/>
        <v>10</v>
      </c>
      <c r="AI9" s="15"/>
      <c r="AJ9" s="15" t="s">
        <v>61</v>
      </c>
    </row>
    <row r="10" ht="15.75" customHeight="1">
      <c r="A10" s="15" t="s">
        <v>1483</v>
      </c>
      <c r="B10" s="16" t="s">
        <v>1522</v>
      </c>
      <c r="C10" s="15" t="s">
        <v>1523</v>
      </c>
      <c r="D10" s="15" t="s">
        <v>33</v>
      </c>
      <c r="E10" s="15" t="s">
        <v>1524</v>
      </c>
      <c r="F10" s="15" t="s">
        <v>33</v>
      </c>
      <c r="G10" s="15" t="s">
        <v>1525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20" t="s">
        <v>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20" t="s">
        <v>33</v>
      </c>
      <c r="AE10" s="15" t="s">
        <v>35</v>
      </c>
      <c r="AF10" s="15" t="s">
        <v>35</v>
      </c>
      <c r="AG10" s="15" t="s">
        <v>35</v>
      </c>
      <c r="AH10" s="15">
        <f t="shared" si="3"/>
        <v>-15</v>
      </c>
      <c r="AI10" s="15"/>
      <c r="AJ10" s="15" t="s">
        <v>61</v>
      </c>
    </row>
    <row r="11" ht="15.75" customHeight="1">
      <c r="A11" s="15" t="s">
        <v>1483</v>
      </c>
      <c r="B11" s="16" t="s">
        <v>1526</v>
      </c>
      <c r="C11" s="15" t="s">
        <v>1527</v>
      </c>
      <c r="D11" s="15" t="s">
        <v>1528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ref="U11:U24" si="4">TEXT(D11-C11,"[mm]")/60</f>
        <v>0.3833333333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ref="AD11:AD24" si="5">AVERAGE(U11:AC11)</f>
        <v>0.3833333333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1483</v>
      </c>
      <c r="B12" s="16" t="s">
        <v>1529</v>
      </c>
      <c r="C12" s="15" t="s">
        <v>1530</v>
      </c>
      <c r="D12" s="15" t="s">
        <v>1531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4"/>
        <v>0.3</v>
      </c>
      <c r="V12" s="20" t="s">
        <v>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5"/>
        <v>0.3</v>
      </c>
      <c r="AE12" s="15" t="s">
        <v>34</v>
      </c>
      <c r="AF12" s="15" t="s">
        <v>35</v>
      </c>
      <c r="AG12" s="15" t="s">
        <v>35</v>
      </c>
      <c r="AH12" s="15">
        <f t="shared" si="3"/>
        <v>10</v>
      </c>
      <c r="AI12" s="15"/>
      <c r="AJ12" s="15" t="s">
        <v>61</v>
      </c>
    </row>
    <row r="13" ht="15.75" customHeight="1">
      <c r="A13" s="15" t="s">
        <v>1483</v>
      </c>
      <c r="B13" s="16" t="s">
        <v>1532</v>
      </c>
      <c r="C13" s="15" t="s">
        <v>1533</v>
      </c>
      <c r="D13" s="15" t="s">
        <v>1534</v>
      </c>
      <c r="E13" s="15" t="s">
        <v>1535</v>
      </c>
      <c r="F13" s="15" t="s">
        <v>615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4"/>
        <v>12.15</v>
      </c>
      <c r="V13" s="15">
        <f t="shared" ref="V13:V14" si="6">TEXT(F13-E13,"[mm]")/60</f>
        <v>24.61666667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5"/>
        <v>18.38333333</v>
      </c>
      <c r="AE13" s="15" t="s">
        <v>34</v>
      </c>
      <c r="AF13" s="15" t="s">
        <v>35</v>
      </c>
      <c r="AG13" s="15" t="s">
        <v>35</v>
      </c>
      <c r="AH13" s="15">
        <f t="shared" si="3"/>
        <v>10</v>
      </c>
      <c r="AI13" s="15"/>
      <c r="AJ13" s="15" t="s">
        <v>61</v>
      </c>
    </row>
    <row r="14" ht="15.75" customHeight="1">
      <c r="A14" s="15" t="s">
        <v>1483</v>
      </c>
      <c r="B14" s="16" t="s">
        <v>1536</v>
      </c>
      <c r="C14" s="15" t="s">
        <v>1537</v>
      </c>
      <c r="D14" s="15" t="s">
        <v>1538</v>
      </c>
      <c r="E14" s="15" t="s">
        <v>1539</v>
      </c>
      <c r="F14" s="15" t="s">
        <v>1540</v>
      </c>
      <c r="G14" s="15" t="s">
        <v>1541</v>
      </c>
      <c r="H14" s="15" t="s">
        <v>1542</v>
      </c>
      <c r="I14" s="15" t="s">
        <v>1543</v>
      </c>
      <c r="J14" s="15" t="s">
        <v>1544</v>
      </c>
      <c r="K14" s="15" t="s">
        <v>1545</v>
      </c>
      <c r="L14" s="15" t="s">
        <v>1546</v>
      </c>
      <c r="M14" s="15" t="s">
        <v>1547</v>
      </c>
      <c r="N14" s="15" t="s">
        <v>1548</v>
      </c>
      <c r="O14" s="15" t="s">
        <v>1549</v>
      </c>
      <c r="P14" s="15" t="s">
        <v>1550</v>
      </c>
      <c r="Q14" s="15" t="s">
        <v>1551</v>
      </c>
      <c r="R14" s="15" t="s">
        <v>1552</v>
      </c>
      <c r="S14" s="15" t="s">
        <v>1553</v>
      </c>
      <c r="T14" s="15" t="s">
        <v>33</v>
      </c>
      <c r="U14" s="15">
        <f t="shared" si="4"/>
        <v>37.88333333</v>
      </c>
      <c r="V14" s="15">
        <f t="shared" si="6"/>
        <v>47.73333333</v>
      </c>
      <c r="W14" s="15">
        <f>TEXT(H14-G14,"[mm]")/60</f>
        <v>169.7666667</v>
      </c>
      <c r="X14" s="15">
        <f>TEXT(J14-I14,"[mm]")/60</f>
        <v>168.2</v>
      </c>
      <c r="Y14" s="15">
        <f>TEXT(L14-K14,"[mm]")/60</f>
        <v>261.6833333</v>
      </c>
      <c r="Z14" s="15">
        <f>TEXT(N14-M14,"[mm]")/60</f>
        <v>314.4166667</v>
      </c>
      <c r="AA14" s="15">
        <f>TEXT(P14-O14,"[mm]")/60</f>
        <v>238.85</v>
      </c>
      <c r="AB14" s="15">
        <f>TEXT(R14-Q14,"[mm]")/60</f>
        <v>603.4</v>
      </c>
      <c r="AC14" s="20" t="s">
        <v>33</v>
      </c>
      <c r="AD14" s="15">
        <f t="shared" si="5"/>
        <v>230.2416667</v>
      </c>
      <c r="AE14" s="15" t="s">
        <v>35</v>
      </c>
      <c r="AF14" s="15" t="s">
        <v>34</v>
      </c>
      <c r="AG14" s="15" t="s">
        <v>35</v>
      </c>
      <c r="AH14" s="15">
        <f t="shared" si="3"/>
        <v>5</v>
      </c>
      <c r="AI14" s="15"/>
      <c r="AJ14" s="15" t="s">
        <v>61</v>
      </c>
    </row>
    <row r="15" ht="15.75" customHeight="1">
      <c r="A15" s="15" t="s">
        <v>1483</v>
      </c>
      <c r="B15" s="16" t="s">
        <v>1554</v>
      </c>
      <c r="C15" s="15" t="s">
        <v>1193</v>
      </c>
      <c r="D15" s="15" t="s">
        <v>1555</v>
      </c>
      <c r="E15" s="15" t="s">
        <v>33</v>
      </c>
      <c r="F15" s="15" t="s">
        <v>1556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4"/>
        <v>14.15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5"/>
        <v>14.15</v>
      </c>
      <c r="AE15" s="15" t="s">
        <v>34</v>
      </c>
      <c r="AF15" s="15" t="s">
        <v>35</v>
      </c>
      <c r="AG15" s="15" t="s">
        <v>35</v>
      </c>
      <c r="AH15" s="15">
        <f t="shared" si="3"/>
        <v>10</v>
      </c>
      <c r="AI15" s="15"/>
      <c r="AJ15" s="15" t="s">
        <v>61</v>
      </c>
    </row>
    <row r="16" ht="15.75" customHeight="1">
      <c r="A16" s="15" t="s">
        <v>1483</v>
      </c>
      <c r="B16" s="16" t="s">
        <v>1557</v>
      </c>
      <c r="C16" s="15" t="s">
        <v>1558</v>
      </c>
      <c r="D16" s="15" t="s">
        <v>1559</v>
      </c>
      <c r="E16" s="15" t="s">
        <v>1560</v>
      </c>
      <c r="F16" s="15" t="s">
        <v>1176</v>
      </c>
      <c r="G16" s="15" t="s">
        <v>1561</v>
      </c>
      <c r="H16" s="15" t="s">
        <v>33</v>
      </c>
      <c r="I16" s="15" t="s">
        <v>1562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4"/>
        <v>14.48333333</v>
      </c>
      <c r="V16" s="15">
        <f>TEXT(F16-E16,"[mm]")/60</f>
        <v>16.83333333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si="5"/>
        <v>15.65833333</v>
      </c>
      <c r="AE16" s="15" t="s">
        <v>34</v>
      </c>
      <c r="AF16" s="15" t="s">
        <v>35</v>
      </c>
      <c r="AG16" s="15" t="s">
        <v>35</v>
      </c>
      <c r="AH16" s="15">
        <f t="shared" si="3"/>
        <v>10</v>
      </c>
      <c r="AI16" s="15"/>
      <c r="AJ16" s="15" t="s">
        <v>61</v>
      </c>
    </row>
    <row r="17" ht="15.75" customHeight="1">
      <c r="A17" s="15" t="s">
        <v>1483</v>
      </c>
      <c r="B17" s="16" t="s">
        <v>1563</v>
      </c>
      <c r="C17" s="15" t="s">
        <v>1564</v>
      </c>
      <c r="D17" s="15" t="s">
        <v>1565</v>
      </c>
      <c r="E17" s="15" t="s">
        <v>33</v>
      </c>
      <c r="F17" s="15" t="s">
        <v>613</v>
      </c>
      <c r="G17" s="15" t="s">
        <v>33</v>
      </c>
      <c r="H17" s="15" t="s">
        <v>1566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4"/>
        <v>1.416666667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si="5"/>
        <v>1.416666667</v>
      </c>
      <c r="AE17" s="15" t="s">
        <v>34</v>
      </c>
      <c r="AF17" s="15" t="s">
        <v>35</v>
      </c>
      <c r="AG17" s="15" t="s">
        <v>35</v>
      </c>
      <c r="AH17" s="15">
        <f t="shared" si="3"/>
        <v>10</v>
      </c>
      <c r="AI17" s="15"/>
      <c r="AJ17" s="15" t="s">
        <v>61</v>
      </c>
    </row>
    <row r="18" ht="15.75" customHeight="1">
      <c r="A18" s="15" t="s">
        <v>1483</v>
      </c>
      <c r="B18" s="16" t="s">
        <v>1567</v>
      </c>
      <c r="C18" s="15" t="s">
        <v>1568</v>
      </c>
      <c r="D18" s="15" t="s">
        <v>1569</v>
      </c>
      <c r="E18" s="15" t="s">
        <v>1530</v>
      </c>
      <c r="F18" s="15" t="s">
        <v>1570</v>
      </c>
      <c r="G18" s="15" t="s">
        <v>1571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4"/>
        <v>0.9166666667</v>
      </c>
      <c r="V18" s="15">
        <f t="shared" ref="V18:V20" si="7">TEXT(F18-E18,"[mm]")/60</f>
        <v>24.6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5"/>
        <v>12.75833333</v>
      </c>
      <c r="AE18" s="15" t="s">
        <v>34</v>
      </c>
      <c r="AF18" s="15" t="s">
        <v>35</v>
      </c>
      <c r="AG18" s="15" t="s">
        <v>35</v>
      </c>
      <c r="AH18" s="15">
        <f t="shared" si="3"/>
        <v>10</v>
      </c>
      <c r="AI18" s="15"/>
      <c r="AJ18" s="15" t="s">
        <v>61</v>
      </c>
    </row>
    <row r="19" ht="15.75" customHeight="1">
      <c r="A19" s="15" t="s">
        <v>1483</v>
      </c>
      <c r="B19" s="16" t="s">
        <v>1572</v>
      </c>
      <c r="C19" s="15" t="s">
        <v>1573</v>
      </c>
      <c r="D19" s="15" t="s">
        <v>1574</v>
      </c>
      <c r="E19" s="15" t="s">
        <v>1575</v>
      </c>
      <c r="F19" s="15" t="s">
        <v>1156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4"/>
        <v>0.2</v>
      </c>
      <c r="V19" s="15">
        <f t="shared" si="7"/>
        <v>70.13333333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si="5"/>
        <v>35.16666667</v>
      </c>
      <c r="AE19" s="15" t="s">
        <v>34</v>
      </c>
      <c r="AF19" s="15" t="s">
        <v>35</v>
      </c>
      <c r="AG19" s="15" t="s">
        <v>35</v>
      </c>
      <c r="AH19" s="15">
        <f t="shared" si="3"/>
        <v>10</v>
      </c>
      <c r="AI19" s="15"/>
      <c r="AJ19" s="15" t="s">
        <v>61</v>
      </c>
    </row>
    <row r="20" ht="15.75" customHeight="1">
      <c r="A20" s="15" t="s">
        <v>1483</v>
      </c>
      <c r="B20" s="16" t="s">
        <v>1576</v>
      </c>
      <c r="C20" s="15" t="s">
        <v>1577</v>
      </c>
      <c r="D20" s="15" t="s">
        <v>1578</v>
      </c>
      <c r="E20" s="15" t="s">
        <v>1579</v>
      </c>
      <c r="F20" s="15" t="s">
        <v>1580</v>
      </c>
      <c r="G20" s="15" t="s">
        <v>1581</v>
      </c>
      <c r="H20" s="15" t="s">
        <v>1582</v>
      </c>
      <c r="I20" s="19">
        <v>46141.71805555555</v>
      </c>
      <c r="J20" s="19">
        <v>46141.72777777778</v>
      </c>
      <c r="K20" s="15" t="s">
        <v>1583</v>
      </c>
      <c r="L20" s="15" t="s">
        <v>1584</v>
      </c>
      <c r="M20" s="15" t="s">
        <v>1585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4"/>
        <v>0.4166666667</v>
      </c>
      <c r="V20" s="15">
        <f t="shared" si="7"/>
        <v>0.1833333333</v>
      </c>
      <c r="W20" s="15">
        <f>TEXT(H20-G20,"[mm]")/60</f>
        <v>1.133333333</v>
      </c>
      <c r="X20" s="15">
        <f>TEXT(J20-I20,"[mm]")/60</f>
        <v>0.2333333333</v>
      </c>
      <c r="Y20" s="15">
        <f>TEXT(L20-K20,"[mm]")/60</f>
        <v>0.03333333333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5"/>
        <v>0.4</v>
      </c>
      <c r="AE20" s="15" t="s">
        <v>34</v>
      </c>
      <c r="AF20" s="15" t="s">
        <v>35</v>
      </c>
      <c r="AG20" s="15" t="s">
        <v>35</v>
      </c>
      <c r="AH20" s="15">
        <f t="shared" si="3"/>
        <v>10</v>
      </c>
      <c r="AI20" s="15"/>
      <c r="AJ20" s="15" t="s">
        <v>61</v>
      </c>
    </row>
    <row r="21" ht="15.75" customHeight="1">
      <c r="A21" s="15" t="s">
        <v>1483</v>
      </c>
      <c r="B21" s="16" t="s">
        <v>1586</v>
      </c>
      <c r="C21" s="15" t="s">
        <v>1587</v>
      </c>
      <c r="D21" s="15" t="s">
        <v>1588</v>
      </c>
      <c r="E21" s="15" t="s">
        <v>33</v>
      </c>
      <c r="F21" s="15" t="s">
        <v>1589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>
        <f t="shared" si="4"/>
        <v>0.5166666667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15">
        <f t="shared" si="5"/>
        <v>0.5166666667</v>
      </c>
      <c r="AE21" s="15" t="s">
        <v>34</v>
      </c>
      <c r="AF21" s="15" t="s">
        <v>35</v>
      </c>
      <c r="AG21" s="15" t="s">
        <v>35</v>
      </c>
      <c r="AH21" s="15">
        <f t="shared" si="3"/>
        <v>10</v>
      </c>
      <c r="AI21" s="15"/>
      <c r="AJ21" s="15" t="s">
        <v>61</v>
      </c>
    </row>
    <row r="22" ht="15.75" customHeight="1">
      <c r="A22" s="15" t="s">
        <v>1483</v>
      </c>
      <c r="B22" s="16" t="s">
        <v>1590</v>
      </c>
      <c r="C22" s="15" t="s">
        <v>1591</v>
      </c>
      <c r="D22" s="15" t="s">
        <v>1592</v>
      </c>
      <c r="E22" s="15" t="s">
        <v>33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si="4"/>
        <v>0.65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 t="shared" si="5"/>
        <v>0.65</v>
      </c>
      <c r="AE22" s="15" t="s">
        <v>34</v>
      </c>
      <c r="AF22" s="15" t="s">
        <v>35</v>
      </c>
      <c r="AG22" s="15" t="s">
        <v>35</v>
      </c>
      <c r="AH22" s="15">
        <f t="shared" si="3"/>
        <v>10</v>
      </c>
      <c r="AI22" s="15"/>
      <c r="AJ22" s="15" t="s">
        <v>61</v>
      </c>
    </row>
    <row r="23" ht="15.75" customHeight="1">
      <c r="A23" s="15" t="s">
        <v>1483</v>
      </c>
      <c r="B23" s="16" t="s">
        <v>1593</v>
      </c>
      <c r="C23" s="15" t="s">
        <v>1594</v>
      </c>
      <c r="D23" s="15" t="s">
        <v>1595</v>
      </c>
      <c r="E23" s="15" t="s">
        <v>1596</v>
      </c>
      <c r="F23" s="15" t="s">
        <v>1597</v>
      </c>
      <c r="G23" s="15" t="s">
        <v>33</v>
      </c>
      <c r="H23" s="15" t="s">
        <v>1598</v>
      </c>
      <c r="I23" s="15" t="s">
        <v>33</v>
      </c>
      <c r="J23" s="15" t="s">
        <v>1599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si="4"/>
        <v>0.06666666667</v>
      </c>
      <c r="V23" s="15">
        <f t="shared" ref="V23:V24" si="8">TEXT(F23-E23,"[mm]")/60</f>
        <v>9.95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15">
        <f t="shared" si="5"/>
        <v>5.008333333</v>
      </c>
      <c r="AE23" s="15" t="s">
        <v>34</v>
      </c>
      <c r="AF23" s="15" t="s">
        <v>35</v>
      </c>
      <c r="AG23" s="15" t="s">
        <v>35</v>
      </c>
      <c r="AH23" s="15">
        <f t="shared" si="3"/>
        <v>10</v>
      </c>
      <c r="AI23" s="15"/>
      <c r="AJ23" s="15" t="s">
        <v>61</v>
      </c>
    </row>
    <row r="24" ht="15.75" customHeight="1">
      <c r="A24" s="15" t="s">
        <v>1483</v>
      </c>
      <c r="B24" s="16" t="s">
        <v>1600</v>
      </c>
      <c r="C24" s="15" t="s">
        <v>1601</v>
      </c>
      <c r="D24" s="15" t="s">
        <v>1602</v>
      </c>
      <c r="E24" s="15" t="s">
        <v>1603</v>
      </c>
      <c r="F24" s="15" t="s">
        <v>1604</v>
      </c>
      <c r="G24" s="15" t="s">
        <v>1605</v>
      </c>
      <c r="H24" s="15" t="s">
        <v>1606</v>
      </c>
      <c r="I24" s="15" t="s">
        <v>1607</v>
      </c>
      <c r="J24" s="15" t="s">
        <v>33</v>
      </c>
      <c r="K24" s="15" t="s">
        <v>1608</v>
      </c>
      <c r="L24" s="15" t="s">
        <v>33</v>
      </c>
      <c r="M24" s="15" t="s">
        <v>1609</v>
      </c>
      <c r="N24" s="15" t="s">
        <v>33</v>
      </c>
      <c r="O24" s="15" t="s">
        <v>1610</v>
      </c>
      <c r="P24" s="15" t="s">
        <v>33</v>
      </c>
      <c r="Q24" s="15" t="s">
        <v>1611</v>
      </c>
      <c r="R24" s="15" t="s">
        <v>33</v>
      </c>
      <c r="S24" s="15" t="s">
        <v>1612</v>
      </c>
      <c r="T24" s="15" t="s">
        <v>33</v>
      </c>
      <c r="U24" s="15">
        <f t="shared" si="4"/>
        <v>2.733333333</v>
      </c>
      <c r="V24" s="15">
        <f t="shared" si="8"/>
        <v>122.7666667</v>
      </c>
      <c r="W24" s="15">
        <f>TEXT(H24-G24,"[mm]")/60</f>
        <v>269.4666667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si="5"/>
        <v>131.6555556</v>
      </c>
      <c r="AE24" s="15" t="s">
        <v>34</v>
      </c>
      <c r="AF24" s="15" t="s">
        <v>35</v>
      </c>
      <c r="AG24" s="15" t="s">
        <v>35</v>
      </c>
      <c r="AH24" s="15">
        <f t="shared" si="3"/>
        <v>10</v>
      </c>
      <c r="AI24" s="15"/>
      <c r="AJ24" s="15" t="s">
        <v>61</v>
      </c>
    </row>
    <row r="25" ht="15.75" customHeight="1">
      <c r="A25" s="15" t="s">
        <v>1483</v>
      </c>
      <c r="B25" s="16" t="s">
        <v>1613</v>
      </c>
      <c r="C25" s="15" t="s">
        <v>280</v>
      </c>
      <c r="D25" s="15" t="s">
        <v>33</v>
      </c>
      <c r="E25" s="15" t="s">
        <v>33</v>
      </c>
      <c r="F25" s="15" t="s">
        <v>33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20" t="s">
        <v>33</v>
      </c>
      <c r="V25" s="20" t="s">
        <v>33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20" t="s">
        <v>33</v>
      </c>
      <c r="AE25" s="15" t="s">
        <v>35</v>
      </c>
      <c r="AF25" s="15" t="s">
        <v>35</v>
      </c>
      <c r="AG25" s="15" t="s">
        <v>35</v>
      </c>
      <c r="AH25" s="15">
        <f t="shared" si="3"/>
        <v>-15</v>
      </c>
      <c r="AI25" s="15"/>
      <c r="AJ25" s="15" t="s">
        <v>61</v>
      </c>
    </row>
    <row r="26" ht="15.75" customHeight="1">
      <c r="A26" s="15" t="s">
        <v>1483</v>
      </c>
      <c r="B26" s="16" t="s">
        <v>1614</v>
      </c>
      <c r="C26" s="15" t="s">
        <v>89</v>
      </c>
      <c r="D26" s="15" t="s">
        <v>1615</v>
      </c>
      <c r="E26" s="15" t="s">
        <v>33</v>
      </c>
      <c r="F26" s="15" t="s">
        <v>33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ref="U26:U33" si="9">TEXT(D26-C26,"[mm]")/60</f>
        <v>14.73333333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15">
        <f t="shared" ref="AD26:AD33" si="10">AVERAGE(U26:AC26)</f>
        <v>14.73333333</v>
      </c>
      <c r="AE26" s="15" t="s">
        <v>34</v>
      </c>
      <c r="AF26" s="15" t="s">
        <v>35</v>
      </c>
      <c r="AG26" s="15" t="s">
        <v>35</v>
      </c>
      <c r="AH26" s="15">
        <f t="shared" si="3"/>
        <v>10</v>
      </c>
      <c r="AI26" s="15"/>
      <c r="AJ26" s="15" t="s">
        <v>61</v>
      </c>
    </row>
    <row r="27" ht="15.75" customHeight="1">
      <c r="A27" s="15" t="s">
        <v>1483</v>
      </c>
      <c r="B27" s="16" t="s">
        <v>1616</v>
      </c>
      <c r="C27" s="15" t="s">
        <v>1617</v>
      </c>
      <c r="D27" s="15" t="s">
        <v>87</v>
      </c>
      <c r="E27" s="15" t="s">
        <v>1618</v>
      </c>
      <c r="F27" s="15" t="s">
        <v>1619</v>
      </c>
      <c r="G27" s="15" t="s">
        <v>1620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9"/>
        <v>0.1</v>
      </c>
      <c r="V27" s="15">
        <f>TEXT(F27-E27,"[mm]")/60</f>
        <v>1.416666667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 t="shared" si="10"/>
        <v>0.7583333333</v>
      </c>
      <c r="AE27" s="15" t="s">
        <v>34</v>
      </c>
      <c r="AF27" s="15" t="s">
        <v>35</v>
      </c>
      <c r="AG27" s="15" t="s">
        <v>35</v>
      </c>
      <c r="AH27" s="15">
        <f t="shared" si="3"/>
        <v>10</v>
      </c>
      <c r="AI27" s="15"/>
      <c r="AJ27" s="15" t="s">
        <v>61</v>
      </c>
    </row>
    <row r="28" ht="15.75" customHeight="1">
      <c r="A28" s="15" t="s">
        <v>1483</v>
      </c>
      <c r="B28" s="16" t="s">
        <v>1621</v>
      </c>
      <c r="C28" s="15" t="s">
        <v>1622</v>
      </c>
      <c r="D28" s="15" t="s">
        <v>1623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15">
        <f t="shared" si="9"/>
        <v>0.5166666667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15">
        <f t="shared" si="10"/>
        <v>0.5166666667</v>
      </c>
      <c r="AE28" s="15" t="s">
        <v>34</v>
      </c>
      <c r="AF28" s="15" t="s">
        <v>35</v>
      </c>
      <c r="AG28" s="15" t="s">
        <v>35</v>
      </c>
      <c r="AH28" s="15">
        <f t="shared" si="3"/>
        <v>10</v>
      </c>
      <c r="AI28" s="15"/>
      <c r="AJ28" s="15" t="s">
        <v>61</v>
      </c>
    </row>
    <row r="29" ht="15.75" customHeight="1">
      <c r="A29" s="15" t="s">
        <v>1483</v>
      </c>
      <c r="B29" s="16" t="s">
        <v>1624</v>
      </c>
      <c r="C29" s="15" t="s">
        <v>1625</v>
      </c>
      <c r="D29" s="15" t="s">
        <v>1623</v>
      </c>
      <c r="E29" s="15" t="s">
        <v>1626</v>
      </c>
      <c r="F29" s="15" t="s">
        <v>1627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 t="shared" si="9"/>
        <v>11.58333333</v>
      </c>
      <c r="V29" s="15">
        <f>TEXT(F29-E29,"[mm]")/60</f>
        <v>475.05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 t="shared" si="10"/>
        <v>243.3166667</v>
      </c>
      <c r="AE29" s="15" t="s">
        <v>34</v>
      </c>
      <c r="AF29" s="15" t="s">
        <v>35</v>
      </c>
      <c r="AG29" s="15" t="s">
        <v>35</v>
      </c>
      <c r="AH29" s="15">
        <f t="shared" si="3"/>
        <v>10</v>
      </c>
      <c r="AI29" s="15"/>
      <c r="AJ29" s="15" t="s">
        <v>61</v>
      </c>
    </row>
    <row r="30" ht="15.75" customHeight="1">
      <c r="A30" s="15" t="s">
        <v>1483</v>
      </c>
      <c r="B30" s="16" t="s">
        <v>1628</v>
      </c>
      <c r="C30" s="15" t="s">
        <v>1629</v>
      </c>
      <c r="D30" s="15" t="s">
        <v>1630</v>
      </c>
      <c r="E30" s="15" t="s">
        <v>1631</v>
      </c>
      <c r="F30" s="15" t="s">
        <v>33</v>
      </c>
      <c r="G30" s="15" t="s">
        <v>33</v>
      </c>
      <c r="H30" s="15" t="s">
        <v>33</v>
      </c>
      <c r="I30" s="15" t="s">
        <v>33</v>
      </c>
      <c r="J30" s="15" t="s">
        <v>33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si="9"/>
        <v>0.8</v>
      </c>
      <c r="V30" s="20" t="s">
        <v>33</v>
      </c>
      <c r="W30" s="20" t="s">
        <v>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 t="shared" si="10"/>
        <v>0.8</v>
      </c>
      <c r="AE30" s="15" t="s">
        <v>34</v>
      </c>
      <c r="AF30" s="15" t="s">
        <v>35</v>
      </c>
      <c r="AG30" s="15" t="s">
        <v>35</v>
      </c>
      <c r="AH30" s="15">
        <f t="shared" si="3"/>
        <v>10</v>
      </c>
      <c r="AI30" s="15"/>
      <c r="AJ30" s="15" t="s">
        <v>61</v>
      </c>
    </row>
    <row r="31" ht="15.75" customHeight="1">
      <c r="A31" s="15" t="s">
        <v>1483</v>
      </c>
      <c r="B31" s="16" t="s">
        <v>1632</v>
      </c>
      <c r="C31" s="15" t="s">
        <v>1633</v>
      </c>
      <c r="D31" s="15" t="s">
        <v>1634</v>
      </c>
      <c r="E31" s="15" t="s">
        <v>33</v>
      </c>
      <c r="F31" s="15" t="s">
        <v>1635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9"/>
        <v>0.6666666667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si="10"/>
        <v>0.6666666667</v>
      </c>
      <c r="AE31" s="15" t="s">
        <v>34</v>
      </c>
      <c r="AF31" s="15" t="s">
        <v>35</v>
      </c>
      <c r="AG31" s="15" t="s">
        <v>35</v>
      </c>
      <c r="AH31" s="15">
        <f t="shared" si="3"/>
        <v>10</v>
      </c>
      <c r="AI31" s="15"/>
      <c r="AJ31" s="15" t="s">
        <v>61</v>
      </c>
    </row>
    <row r="32" ht="15.75" customHeight="1">
      <c r="A32" s="15" t="s">
        <v>1483</v>
      </c>
      <c r="B32" s="16" t="s">
        <v>1636</v>
      </c>
      <c r="C32" s="15" t="s">
        <v>1637</v>
      </c>
      <c r="D32" s="15" t="s">
        <v>1638</v>
      </c>
      <c r="E32" s="15" t="s">
        <v>1639</v>
      </c>
      <c r="F32" s="15" t="s">
        <v>628</v>
      </c>
      <c r="G32" s="15" t="s">
        <v>1640</v>
      </c>
      <c r="H32" s="15" t="s">
        <v>33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9"/>
        <v>0.08333333333</v>
      </c>
      <c r="V32" s="15">
        <f>TEXT(F32-E32,"[mm]")/60</f>
        <v>19.45</v>
      </c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10"/>
        <v>9.766666667</v>
      </c>
      <c r="AE32" s="15" t="s">
        <v>34</v>
      </c>
      <c r="AF32" s="15" t="s">
        <v>35</v>
      </c>
      <c r="AG32" s="15" t="s">
        <v>35</v>
      </c>
      <c r="AH32" s="15">
        <f t="shared" si="3"/>
        <v>10</v>
      </c>
      <c r="AI32" s="15"/>
      <c r="AJ32" s="15" t="s">
        <v>61</v>
      </c>
    </row>
    <row r="33" ht="15.75" customHeight="1">
      <c r="A33" s="15" t="s">
        <v>1483</v>
      </c>
      <c r="B33" s="16" t="s">
        <v>1641</v>
      </c>
      <c r="C33" s="15" t="s">
        <v>1642</v>
      </c>
      <c r="D33" s="15" t="s">
        <v>1643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9"/>
        <v>0.15</v>
      </c>
      <c r="V33" s="20" t="s">
        <v>33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si="10"/>
        <v>0.15</v>
      </c>
      <c r="AE33" s="15" t="s">
        <v>34</v>
      </c>
      <c r="AF33" s="15" t="s">
        <v>35</v>
      </c>
      <c r="AG33" s="15" t="s">
        <v>35</v>
      </c>
      <c r="AH33" s="15">
        <f t="shared" si="3"/>
        <v>10</v>
      </c>
      <c r="AI33" s="15"/>
      <c r="AJ33" s="15" t="s">
        <v>61</v>
      </c>
    </row>
    <row r="34" ht="15.75" customHeight="1">
      <c r="A34" s="15" t="s">
        <v>1483</v>
      </c>
      <c r="B34" s="16" t="s">
        <v>1644</v>
      </c>
      <c r="C34" s="15" t="s">
        <v>1645</v>
      </c>
      <c r="D34" s="15" t="s">
        <v>33</v>
      </c>
      <c r="E34" s="15" t="s">
        <v>33</v>
      </c>
      <c r="F34" s="15" t="s">
        <v>33</v>
      </c>
      <c r="G34" s="15" t="s">
        <v>33</v>
      </c>
      <c r="H34" s="15" t="s">
        <v>33</v>
      </c>
      <c r="I34" s="15" t="s">
        <v>33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20" t="s">
        <v>33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20" t="s">
        <v>33</v>
      </c>
      <c r="AE34" s="15" t="s">
        <v>35</v>
      </c>
      <c r="AF34" s="15" t="s">
        <v>35</v>
      </c>
      <c r="AG34" s="15" t="s">
        <v>35</v>
      </c>
      <c r="AH34" s="15">
        <f t="shared" si="3"/>
        <v>-15</v>
      </c>
      <c r="AI34" s="15"/>
      <c r="AJ34" s="15" t="s">
        <v>61</v>
      </c>
    </row>
    <row r="35" ht="15.75" customHeight="1">
      <c r="A35" s="15" t="s">
        <v>1483</v>
      </c>
      <c r="B35" s="16" t="s">
        <v>1646</v>
      </c>
      <c r="C35" s="15" t="s">
        <v>1647</v>
      </c>
      <c r="D35" s="15" t="s">
        <v>1648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15">
        <f t="shared" ref="U35:U39" si="11">TEXT(D35-C35,"[mm]")/60</f>
        <v>52.35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15">
        <f t="shared" ref="AD35:AD39" si="12">AVERAGE(U35:AC35)</f>
        <v>52.35</v>
      </c>
      <c r="AE35" s="15" t="s">
        <v>35</v>
      </c>
      <c r="AF35" s="15" t="s">
        <v>34</v>
      </c>
      <c r="AG35" s="15" t="s">
        <v>35</v>
      </c>
      <c r="AH35" s="15">
        <f t="shared" si="3"/>
        <v>5</v>
      </c>
      <c r="AI35" s="15"/>
      <c r="AJ35" s="15" t="s">
        <v>61</v>
      </c>
    </row>
    <row r="36" ht="15.75" customHeight="1">
      <c r="A36" s="15" t="s">
        <v>1483</v>
      </c>
      <c r="B36" s="16" t="s">
        <v>1649</v>
      </c>
      <c r="C36" s="15" t="s">
        <v>128</v>
      </c>
      <c r="D36" s="15" t="s">
        <v>1650</v>
      </c>
      <c r="E36" s="15" t="s">
        <v>1651</v>
      </c>
      <c r="F36" s="15" t="s">
        <v>1652</v>
      </c>
      <c r="G36" s="15" t="s">
        <v>33</v>
      </c>
      <c r="H36" s="15" t="s">
        <v>1653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si="11"/>
        <v>0.1166666667</v>
      </c>
      <c r="V36" s="15">
        <f t="shared" ref="V36:V37" si="13">TEXT(F36-E36,"[mm]")/60</f>
        <v>0.4166666667</v>
      </c>
      <c r="W36" s="20" t="s">
        <v>33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si="12"/>
        <v>0.2666666667</v>
      </c>
      <c r="AE36" s="15" t="s">
        <v>34</v>
      </c>
      <c r="AF36" s="15" t="s">
        <v>35</v>
      </c>
      <c r="AG36" s="15" t="s">
        <v>35</v>
      </c>
      <c r="AH36" s="15">
        <f t="shared" si="3"/>
        <v>10</v>
      </c>
      <c r="AI36" s="15"/>
      <c r="AJ36" s="15" t="s">
        <v>61</v>
      </c>
    </row>
    <row r="37" ht="15.75" customHeight="1">
      <c r="A37" s="15" t="s">
        <v>1483</v>
      </c>
      <c r="B37" s="16" t="s">
        <v>1654</v>
      </c>
      <c r="C37" s="15" t="s">
        <v>1655</v>
      </c>
      <c r="D37" s="15" t="s">
        <v>1656</v>
      </c>
      <c r="E37" s="15" t="s">
        <v>1380</v>
      </c>
      <c r="F37" s="15" t="s">
        <v>1657</v>
      </c>
      <c r="G37" s="15" t="s">
        <v>1658</v>
      </c>
      <c r="H37" s="15" t="s">
        <v>1659</v>
      </c>
      <c r="I37" s="15" t="s">
        <v>1660</v>
      </c>
      <c r="J37" s="15" t="s">
        <v>1309</v>
      </c>
      <c r="K37" s="15" t="s">
        <v>1661</v>
      </c>
      <c r="L37" s="15" t="s">
        <v>1662</v>
      </c>
      <c r="M37" s="15" t="s">
        <v>1663</v>
      </c>
      <c r="N37" s="15" t="s">
        <v>1664</v>
      </c>
      <c r="O37" s="15" t="s">
        <v>1665</v>
      </c>
      <c r="P37" s="15" t="s">
        <v>33</v>
      </c>
      <c r="Q37" s="15" t="s">
        <v>1666</v>
      </c>
      <c r="R37" s="15" t="s">
        <v>33</v>
      </c>
      <c r="S37" s="15" t="s">
        <v>33</v>
      </c>
      <c r="T37" s="15" t="s">
        <v>33</v>
      </c>
      <c r="U37" s="15">
        <f t="shared" si="11"/>
        <v>1.316666667</v>
      </c>
      <c r="V37" s="15">
        <f t="shared" si="13"/>
        <v>0.05</v>
      </c>
      <c r="W37" s="15">
        <f>TEXT(H37-G37,"[mm]")/60</f>
        <v>25.01666667</v>
      </c>
      <c r="X37" s="15">
        <f>TEXT(J37-I37,"[mm]")/60</f>
        <v>44.51666667</v>
      </c>
      <c r="Y37" s="15">
        <f>TEXT(L37-K37,"[mm]")/60</f>
        <v>456.0666667</v>
      </c>
      <c r="Z37" s="15">
        <f>TEXT(N37-M37,"[mm]")/60</f>
        <v>454.3</v>
      </c>
      <c r="AA37" s="20" t="s">
        <v>33</v>
      </c>
      <c r="AB37" s="20" t="s">
        <v>33</v>
      </c>
      <c r="AC37" s="20" t="s">
        <v>33</v>
      </c>
      <c r="AD37" s="15">
        <f t="shared" si="12"/>
        <v>163.5444444</v>
      </c>
      <c r="AE37" s="15" t="s">
        <v>34</v>
      </c>
      <c r="AF37" s="15" t="s">
        <v>35</v>
      </c>
      <c r="AG37" s="15" t="s">
        <v>35</v>
      </c>
      <c r="AH37" s="15">
        <f t="shared" si="3"/>
        <v>10</v>
      </c>
      <c r="AI37" s="15"/>
      <c r="AJ37" s="15" t="s">
        <v>61</v>
      </c>
    </row>
    <row r="38" ht="15.75" customHeight="1">
      <c r="A38" s="15" t="s">
        <v>1483</v>
      </c>
      <c r="B38" s="16" t="s">
        <v>1667</v>
      </c>
      <c r="C38" s="15" t="s">
        <v>1668</v>
      </c>
      <c r="D38" s="15" t="s">
        <v>1669</v>
      </c>
      <c r="E38" s="15" t="s">
        <v>33</v>
      </c>
      <c r="F38" s="15" t="s">
        <v>1670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15">
        <f t="shared" si="11"/>
        <v>4.116666667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15">
        <f t="shared" si="12"/>
        <v>4.116666667</v>
      </c>
      <c r="AE38" s="15" t="s">
        <v>34</v>
      </c>
      <c r="AF38" s="15" t="s">
        <v>35</v>
      </c>
      <c r="AG38" s="15" t="s">
        <v>35</v>
      </c>
      <c r="AH38" s="15">
        <f t="shared" si="3"/>
        <v>10</v>
      </c>
      <c r="AI38" s="15"/>
      <c r="AJ38" s="15" t="s">
        <v>61</v>
      </c>
    </row>
    <row r="39" ht="15.75" customHeight="1">
      <c r="A39" s="15" t="s">
        <v>1483</v>
      </c>
      <c r="B39" s="16" t="s">
        <v>1671</v>
      </c>
      <c r="C39" s="15" t="s">
        <v>1672</v>
      </c>
      <c r="D39" s="15" t="s">
        <v>1673</v>
      </c>
      <c r="E39" s="15" t="s">
        <v>33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 t="shared" si="11"/>
        <v>10.15</v>
      </c>
      <c r="V39" s="20" t="s">
        <v>33</v>
      </c>
      <c r="W39" s="20" t="s">
        <v>33</v>
      </c>
      <c r="X39" s="20" t="s">
        <v>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15">
        <f t="shared" si="12"/>
        <v>10.15</v>
      </c>
      <c r="AE39" s="15" t="s">
        <v>34</v>
      </c>
      <c r="AF39" s="15" t="s">
        <v>35</v>
      </c>
      <c r="AG39" s="15" t="s">
        <v>35</v>
      </c>
      <c r="AH39" s="15">
        <f t="shared" si="3"/>
        <v>10</v>
      </c>
      <c r="AI39" s="15"/>
      <c r="AJ39" s="15" t="s">
        <v>61</v>
      </c>
    </row>
    <row r="40" ht="15.75" customHeight="1">
      <c r="A40" s="15" t="s">
        <v>1483</v>
      </c>
      <c r="B40" s="16" t="s">
        <v>1674</v>
      </c>
      <c r="C40" s="15" t="s">
        <v>1675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20" t="s">
        <v>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20" t="s">
        <v>33</v>
      </c>
      <c r="AE40" s="15" t="s">
        <v>35</v>
      </c>
      <c r="AF40" s="15" t="s">
        <v>35</v>
      </c>
      <c r="AG40" s="15" t="s">
        <v>35</v>
      </c>
      <c r="AH40" s="15">
        <f t="shared" si="3"/>
        <v>-15</v>
      </c>
      <c r="AI40" s="15"/>
      <c r="AJ40" s="15" t="s">
        <v>61</v>
      </c>
    </row>
    <row r="41" ht="15.75" customHeight="1">
      <c r="A41" s="15" t="s">
        <v>1483</v>
      </c>
      <c r="B41" s="16" t="s">
        <v>1676</v>
      </c>
      <c r="C41" s="15" t="s">
        <v>1677</v>
      </c>
      <c r="D41" s="15" t="s">
        <v>1678</v>
      </c>
      <c r="E41" s="15" t="s">
        <v>33</v>
      </c>
      <c r="F41" s="15" t="s">
        <v>1679</v>
      </c>
      <c r="G41" s="15" t="s">
        <v>33</v>
      </c>
      <c r="H41" s="15" t="s">
        <v>1680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ref="U41:U42" si="14">TEXT(D41-C41,"[mm]")/60</f>
        <v>14.95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15">
        <f t="shared" ref="AD41:AD42" si="15">AVERAGE(U41:AC41)</f>
        <v>14.95</v>
      </c>
      <c r="AE41" s="15" t="s">
        <v>34</v>
      </c>
      <c r="AF41" s="15" t="s">
        <v>35</v>
      </c>
      <c r="AG41" s="15" t="s">
        <v>35</v>
      </c>
      <c r="AH41" s="15">
        <f t="shared" si="3"/>
        <v>10</v>
      </c>
      <c r="AI41" s="15"/>
      <c r="AJ41" s="15" t="s">
        <v>61</v>
      </c>
    </row>
    <row r="42" ht="15.75" customHeight="1">
      <c r="A42" s="15" t="s">
        <v>1483</v>
      </c>
      <c r="B42" s="16" t="s">
        <v>1681</v>
      </c>
      <c r="C42" s="15" t="s">
        <v>1682</v>
      </c>
      <c r="D42" s="15" t="s">
        <v>1683</v>
      </c>
      <c r="E42" s="15" t="s">
        <v>33</v>
      </c>
      <c r="F42" s="15" t="s">
        <v>1684</v>
      </c>
      <c r="G42" s="15" t="s">
        <v>33</v>
      </c>
      <c r="H42" s="15" t="s">
        <v>33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si="14"/>
        <v>0.03333333333</v>
      </c>
      <c r="V42" s="20" t="s">
        <v>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 t="shared" si="15"/>
        <v>0.03333333333</v>
      </c>
      <c r="AE42" s="15" t="s">
        <v>34</v>
      </c>
      <c r="AF42" s="15" t="s">
        <v>35</v>
      </c>
      <c r="AG42" s="15" t="s">
        <v>35</v>
      </c>
      <c r="AH42" s="15">
        <f t="shared" si="3"/>
        <v>10</v>
      </c>
      <c r="AI42" s="15"/>
      <c r="AJ42" s="15" t="s">
        <v>61</v>
      </c>
    </row>
    <row r="43" ht="15.75" customHeight="1">
      <c r="A43" s="15" t="s">
        <v>1483</v>
      </c>
      <c r="B43" s="16" t="s">
        <v>1685</v>
      </c>
      <c r="C43" s="15" t="s">
        <v>1686</v>
      </c>
      <c r="D43" s="15" t="s">
        <v>33</v>
      </c>
      <c r="E43" s="15" t="s">
        <v>33</v>
      </c>
      <c r="F43" s="15" t="s">
        <v>33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20" t="s">
        <v>33</v>
      </c>
      <c r="V43" s="20" t="s">
        <v>33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20" t="s">
        <v>33</v>
      </c>
      <c r="AE43" s="15" t="s">
        <v>35</v>
      </c>
      <c r="AF43" s="15" t="s">
        <v>35</v>
      </c>
      <c r="AG43" s="15" t="s">
        <v>35</v>
      </c>
      <c r="AH43" s="15">
        <f t="shared" si="3"/>
        <v>-15</v>
      </c>
      <c r="AI43" s="15"/>
      <c r="AJ43" s="15" t="s">
        <v>61</v>
      </c>
    </row>
    <row r="44" ht="15.75" customHeight="1">
      <c r="A44" s="15" t="s">
        <v>1483</v>
      </c>
      <c r="B44" s="16" t="s">
        <v>1687</v>
      </c>
      <c r="C44" s="15" t="s">
        <v>1688</v>
      </c>
      <c r="D44" s="15" t="s">
        <v>1689</v>
      </c>
      <c r="E44" s="15" t="s">
        <v>1690</v>
      </c>
      <c r="F44" s="15" t="s">
        <v>1691</v>
      </c>
      <c r="G44" s="19">
        <v>46140.729166666664</v>
      </c>
      <c r="H44" s="19">
        <v>46141.92569444444</v>
      </c>
      <c r="I44" s="19">
        <v>46141.79236111111</v>
      </c>
      <c r="J44" s="20" t="s">
        <v>1692</v>
      </c>
      <c r="K44" s="15" t="s">
        <v>33</v>
      </c>
      <c r="L44" s="15" t="s">
        <v>1693</v>
      </c>
      <c r="M44" s="15" t="s">
        <v>33</v>
      </c>
      <c r="N44" s="15" t="s">
        <v>33</v>
      </c>
      <c r="O44" s="15" t="s">
        <v>33</v>
      </c>
      <c r="P44" s="15" t="s">
        <v>33</v>
      </c>
      <c r="Q44" s="15" t="s">
        <v>33</v>
      </c>
      <c r="R44" s="15" t="s">
        <v>33</v>
      </c>
      <c r="S44" s="15" t="s">
        <v>33</v>
      </c>
      <c r="T44" s="15" t="s">
        <v>33</v>
      </c>
      <c r="U44" s="15">
        <f t="shared" ref="U44:U51" si="16">TEXT(D44-C44,"[mm]")/60</f>
        <v>0.7166666667</v>
      </c>
      <c r="V44" s="15">
        <f>TEXT(F44-E44,"[mm]")/60</f>
        <v>0.05</v>
      </c>
      <c r="W44" s="15">
        <f>TEXT(H44-G44,"[mm]")/60</f>
        <v>28.71666667</v>
      </c>
      <c r="X44" s="20" t="s">
        <v>33</v>
      </c>
      <c r="Y44" s="20" t="s">
        <v>33</v>
      </c>
      <c r="Z44" s="20" t="s">
        <v>33</v>
      </c>
      <c r="AA44" s="20" t="s">
        <v>33</v>
      </c>
      <c r="AB44" s="20" t="s">
        <v>33</v>
      </c>
      <c r="AC44" s="20" t="s">
        <v>33</v>
      </c>
      <c r="AD44" s="15">
        <f t="shared" ref="AD44:AD51" si="17">AVERAGE(U44:AC44)</f>
        <v>9.827777778</v>
      </c>
      <c r="AE44" s="15" t="s">
        <v>34</v>
      </c>
      <c r="AF44" s="15" t="s">
        <v>35</v>
      </c>
      <c r="AG44" s="15" t="s">
        <v>35</v>
      </c>
      <c r="AH44" s="15">
        <f t="shared" si="3"/>
        <v>10</v>
      </c>
      <c r="AI44" s="15"/>
      <c r="AJ44" s="15" t="s">
        <v>61</v>
      </c>
    </row>
    <row r="45" ht="15.75" customHeight="1">
      <c r="A45" s="15" t="s">
        <v>1483</v>
      </c>
      <c r="B45" s="16" t="s">
        <v>1694</v>
      </c>
      <c r="C45" s="15" t="s">
        <v>1695</v>
      </c>
      <c r="D45" s="15" t="s">
        <v>1696</v>
      </c>
      <c r="E45" s="15" t="s">
        <v>1697</v>
      </c>
      <c r="F45" s="15" t="s">
        <v>33</v>
      </c>
      <c r="G45" s="15" t="s">
        <v>33</v>
      </c>
      <c r="H45" s="15" t="s">
        <v>33</v>
      </c>
      <c r="I45" s="15" t="s">
        <v>33</v>
      </c>
      <c r="J45" s="15" t="s">
        <v>33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15">
        <f t="shared" si="16"/>
        <v>1.433333333</v>
      </c>
      <c r="V45" s="20" t="s">
        <v>33</v>
      </c>
      <c r="W45" s="20" t="s">
        <v>33</v>
      </c>
      <c r="X45" s="20" t="s">
        <v>33</v>
      </c>
      <c r="Y45" s="20" t="s">
        <v>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15">
        <f t="shared" si="17"/>
        <v>1.433333333</v>
      </c>
      <c r="AE45" s="15" t="s">
        <v>34</v>
      </c>
      <c r="AF45" s="15" t="s">
        <v>35</v>
      </c>
      <c r="AG45" s="15" t="s">
        <v>35</v>
      </c>
      <c r="AH45" s="15">
        <f t="shared" si="3"/>
        <v>10</v>
      </c>
      <c r="AI45" s="15"/>
      <c r="AJ45" s="15" t="s">
        <v>61</v>
      </c>
    </row>
    <row r="46" ht="15.75" customHeight="1">
      <c r="A46" s="15" t="s">
        <v>1483</v>
      </c>
      <c r="B46" s="16" t="s">
        <v>1698</v>
      </c>
      <c r="C46" s="15" t="s">
        <v>1699</v>
      </c>
      <c r="D46" s="15" t="s">
        <v>1700</v>
      </c>
      <c r="E46" s="15" t="s">
        <v>33</v>
      </c>
      <c r="F46" s="15" t="s">
        <v>33</v>
      </c>
      <c r="G46" s="15" t="s">
        <v>33</v>
      </c>
      <c r="H46" s="15" t="s">
        <v>33</v>
      </c>
      <c r="I46" s="15" t="s">
        <v>33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si="16"/>
        <v>11.2</v>
      </c>
      <c r="V46" s="20" t="s">
        <v>33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15">
        <f t="shared" si="17"/>
        <v>11.2</v>
      </c>
      <c r="AE46" s="15" t="s">
        <v>34</v>
      </c>
      <c r="AF46" s="15" t="s">
        <v>35</v>
      </c>
      <c r="AG46" s="15" t="s">
        <v>35</v>
      </c>
      <c r="AH46" s="15">
        <f t="shared" si="3"/>
        <v>10</v>
      </c>
      <c r="AI46" s="15"/>
      <c r="AJ46" s="15" t="s">
        <v>61</v>
      </c>
    </row>
    <row r="47" ht="15.75" customHeight="1">
      <c r="A47" s="15" t="s">
        <v>1483</v>
      </c>
      <c r="B47" s="16" t="s">
        <v>1701</v>
      </c>
      <c r="C47" s="15" t="s">
        <v>1702</v>
      </c>
      <c r="D47" s="15" t="s">
        <v>1703</v>
      </c>
      <c r="E47" s="15" t="s">
        <v>1704</v>
      </c>
      <c r="F47" s="15" t="s">
        <v>1705</v>
      </c>
      <c r="G47" s="19">
        <v>46127.674305555556</v>
      </c>
      <c r="H47" s="19">
        <v>46128.70138888889</v>
      </c>
      <c r="I47" s="19">
        <v>46128.64444444444</v>
      </c>
      <c r="J47" s="19">
        <v>46128.70625</v>
      </c>
      <c r="K47" s="15" t="s">
        <v>1706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si="16"/>
        <v>0.1166666667</v>
      </c>
      <c r="V47" s="15">
        <f t="shared" ref="V47:V48" si="18">TEXT(F47-E47,"[mm]")/60</f>
        <v>1.283333333</v>
      </c>
      <c r="W47" s="15">
        <f t="shared" ref="W47:W48" si="19">TEXT(H47-G47,"[mm]")/60</f>
        <v>24.65</v>
      </c>
      <c r="X47" s="15">
        <f>TEXT(J47-I47,"[mm]")/60</f>
        <v>1.483333333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15">
        <f t="shared" si="17"/>
        <v>6.883333333</v>
      </c>
      <c r="AE47" s="15" t="s">
        <v>34</v>
      </c>
      <c r="AF47" s="15" t="s">
        <v>35</v>
      </c>
      <c r="AG47" s="15" t="s">
        <v>35</v>
      </c>
      <c r="AH47" s="15">
        <f t="shared" si="3"/>
        <v>10</v>
      </c>
      <c r="AI47" s="15"/>
      <c r="AJ47" s="15" t="s">
        <v>61</v>
      </c>
    </row>
    <row r="48" ht="15.75" customHeight="1">
      <c r="A48" s="15" t="s">
        <v>1483</v>
      </c>
      <c r="B48" s="16" t="s">
        <v>1707</v>
      </c>
      <c r="C48" s="15" t="s">
        <v>1708</v>
      </c>
      <c r="D48" s="15" t="s">
        <v>1709</v>
      </c>
      <c r="E48" s="15" t="s">
        <v>766</v>
      </c>
      <c r="F48" s="15" t="s">
        <v>1710</v>
      </c>
      <c r="G48" s="19">
        <v>46137.64236111111</v>
      </c>
      <c r="H48" s="19">
        <v>46137.660416666666</v>
      </c>
      <c r="I48" s="15" t="s">
        <v>33</v>
      </c>
      <c r="J48" s="15" t="s">
        <v>1711</v>
      </c>
      <c r="K48" s="15" t="s">
        <v>33</v>
      </c>
      <c r="L48" s="15" t="s">
        <v>1712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16"/>
        <v>13.56666667</v>
      </c>
      <c r="V48" s="15">
        <f t="shared" si="18"/>
        <v>0.1666666667</v>
      </c>
      <c r="W48" s="15">
        <f t="shared" si="19"/>
        <v>0.4333333333</v>
      </c>
      <c r="X48" s="20" t="s">
        <v>33</v>
      </c>
      <c r="Y48" s="20" t="s">
        <v>33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15">
        <f t="shared" si="17"/>
        <v>4.722222222</v>
      </c>
      <c r="AE48" s="15" t="s">
        <v>34</v>
      </c>
      <c r="AF48" s="15" t="s">
        <v>35</v>
      </c>
      <c r="AG48" s="15" t="s">
        <v>35</v>
      </c>
      <c r="AH48" s="15">
        <f t="shared" si="3"/>
        <v>10</v>
      </c>
      <c r="AI48" s="15"/>
      <c r="AJ48" s="15" t="s">
        <v>61</v>
      </c>
    </row>
    <row r="49" ht="15.75" customHeight="1">
      <c r="A49" s="15" t="s">
        <v>1483</v>
      </c>
      <c r="B49" s="16" t="s">
        <v>1713</v>
      </c>
      <c r="C49" s="15" t="s">
        <v>1714</v>
      </c>
      <c r="D49" s="15" t="s">
        <v>1715</v>
      </c>
      <c r="E49" s="15" t="s">
        <v>33</v>
      </c>
      <c r="F49" s="15" t="s">
        <v>1716</v>
      </c>
      <c r="G49" s="15" t="s">
        <v>33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16"/>
        <v>14.73333333</v>
      </c>
      <c r="V49" s="20" t="s">
        <v>33</v>
      </c>
      <c r="W49" s="20" t="s">
        <v>33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si="17"/>
        <v>14.73333333</v>
      </c>
      <c r="AE49" s="15" t="s">
        <v>34</v>
      </c>
      <c r="AF49" s="15" t="s">
        <v>35</v>
      </c>
      <c r="AG49" s="15" t="s">
        <v>35</v>
      </c>
      <c r="AH49" s="15">
        <f t="shared" si="3"/>
        <v>10</v>
      </c>
      <c r="AI49" s="15"/>
      <c r="AJ49" s="15" t="s">
        <v>61</v>
      </c>
    </row>
    <row r="50" ht="15.75" customHeight="1">
      <c r="A50" s="15" t="s">
        <v>1483</v>
      </c>
      <c r="B50" s="16" t="s">
        <v>1717</v>
      </c>
      <c r="C50" s="15" t="s">
        <v>1718</v>
      </c>
      <c r="D50" s="15" t="s">
        <v>1719</v>
      </c>
      <c r="E50" s="15" t="s">
        <v>1720</v>
      </c>
      <c r="F50" s="15" t="s">
        <v>1721</v>
      </c>
      <c r="G50" s="15" t="s">
        <v>1722</v>
      </c>
      <c r="H50" s="15" t="s">
        <v>1723</v>
      </c>
      <c r="I50" s="15" t="s">
        <v>1724</v>
      </c>
      <c r="J50" s="15" t="s">
        <v>1725</v>
      </c>
      <c r="K50" s="15" t="s">
        <v>1726</v>
      </c>
      <c r="L50" s="15" t="s">
        <v>1727</v>
      </c>
      <c r="M50" s="15" t="s">
        <v>1728</v>
      </c>
      <c r="N50" s="15" t="s">
        <v>1729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16"/>
        <v>0.3833333333</v>
      </c>
      <c r="V50" s="15">
        <f t="shared" ref="V50:V51" si="20">TEXT(F50-E50,"[mm]")/60</f>
        <v>0.4333333333</v>
      </c>
      <c r="W50" s="15">
        <f>TEXT(H50-G50,"[mm]")/60</f>
        <v>14.53333333</v>
      </c>
      <c r="X50" s="15">
        <f>TEXT(J50-I50,"[mm]")/60</f>
        <v>14.18333333</v>
      </c>
      <c r="Y50" s="15">
        <f>TEXT(L50-K50,"[mm]")/60</f>
        <v>120.5666667</v>
      </c>
      <c r="Z50" s="15">
        <f>TEXT(N50-M50,"[mm]")/60</f>
        <v>66.61666667</v>
      </c>
      <c r="AA50" s="20" t="s">
        <v>33</v>
      </c>
      <c r="AB50" s="20" t="s">
        <v>33</v>
      </c>
      <c r="AC50" s="20" t="s">
        <v>33</v>
      </c>
      <c r="AD50" s="15">
        <f t="shared" si="17"/>
        <v>36.11944444</v>
      </c>
      <c r="AE50" s="15" t="s">
        <v>34</v>
      </c>
      <c r="AF50" s="15" t="s">
        <v>35</v>
      </c>
      <c r="AG50" s="15" t="s">
        <v>35</v>
      </c>
      <c r="AH50" s="15">
        <f t="shared" si="3"/>
        <v>10</v>
      </c>
      <c r="AI50" s="15"/>
      <c r="AJ50" s="15" t="s">
        <v>61</v>
      </c>
    </row>
    <row r="51" ht="15.75" customHeight="1">
      <c r="A51" s="15" t="s">
        <v>1483</v>
      </c>
      <c r="B51" s="16" t="s">
        <v>1730</v>
      </c>
      <c r="C51" s="15" t="s">
        <v>1731</v>
      </c>
      <c r="D51" s="15" t="s">
        <v>1732</v>
      </c>
      <c r="E51" s="15" t="s">
        <v>1733</v>
      </c>
      <c r="F51" s="15" t="s">
        <v>1734</v>
      </c>
      <c r="G51" s="15" t="s">
        <v>1735</v>
      </c>
      <c r="H51" s="15" t="s">
        <v>33</v>
      </c>
      <c r="I51" s="15" t="s">
        <v>1736</v>
      </c>
      <c r="J51" s="15" t="s">
        <v>33</v>
      </c>
      <c r="K51" s="15" t="s">
        <v>1737</v>
      </c>
      <c r="L51" s="15" t="s">
        <v>33</v>
      </c>
      <c r="M51" s="15" t="s">
        <v>1738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15">
        <f t="shared" si="16"/>
        <v>0.1</v>
      </c>
      <c r="V51" s="15">
        <f t="shared" si="20"/>
        <v>46.11666667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15">
        <f t="shared" si="17"/>
        <v>23.10833333</v>
      </c>
      <c r="AE51" s="15" t="s">
        <v>34</v>
      </c>
      <c r="AF51" s="15" t="s">
        <v>35</v>
      </c>
      <c r="AG51" s="15" t="s">
        <v>35</v>
      </c>
      <c r="AH51" s="15">
        <f t="shared" si="3"/>
        <v>10</v>
      </c>
      <c r="AI51" s="15"/>
      <c r="AJ51" s="15" t="s">
        <v>61</v>
      </c>
    </row>
    <row r="52" ht="15.75" customHeight="1">
      <c r="A52" s="15" t="s">
        <v>1483</v>
      </c>
      <c r="B52" s="16" t="s">
        <v>1739</v>
      </c>
      <c r="C52" s="15" t="s">
        <v>1411</v>
      </c>
      <c r="D52" s="15" t="s">
        <v>33</v>
      </c>
      <c r="E52" s="15" t="s">
        <v>33</v>
      </c>
      <c r="F52" s="15" t="s">
        <v>33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20" t="s">
        <v>33</v>
      </c>
      <c r="V52" s="20" t="s">
        <v>33</v>
      </c>
      <c r="W52" s="20" t="s">
        <v>33</v>
      </c>
      <c r="X52" s="20" t="s">
        <v>33</v>
      </c>
      <c r="Y52" s="20" t="s">
        <v>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20" t="s">
        <v>33</v>
      </c>
      <c r="AE52" s="15" t="s">
        <v>35</v>
      </c>
      <c r="AF52" s="15" t="s">
        <v>35</v>
      </c>
      <c r="AG52" s="15" t="s">
        <v>35</v>
      </c>
      <c r="AH52" s="15">
        <f t="shared" si="3"/>
        <v>-15</v>
      </c>
      <c r="AI52" s="15"/>
      <c r="AJ52" s="15" t="s">
        <v>61</v>
      </c>
    </row>
    <row r="53" ht="15.75" customHeight="1">
      <c r="A53" s="15" t="s">
        <v>1483</v>
      </c>
      <c r="B53" s="16" t="s">
        <v>1740</v>
      </c>
      <c r="C53" s="15" t="s">
        <v>928</v>
      </c>
      <c r="D53" s="15" t="s">
        <v>1741</v>
      </c>
      <c r="E53" s="15" t="s">
        <v>1742</v>
      </c>
      <c r="F53" s="15" t="s">
        <v>1743</v>
      </c>
      <c r="G53" s="19">
        <v>46133.47152777778</v>
      </c>
      <c r="H53" s="19">
        <v>46133.79375</v>
      </c>
      <c r="I53" s="19">
        <v>46134.42152777778</v>
      </c>
      <c r="J53" s="19">
        <v>46135.47152777778</v>
      </c>
      <c r="K53" s="19">
        <v>46134.7625</v>
      </c>
      <c r="L53" s="19">
        <v>46135.711805555555</v>
      </c>
      <c r="M53" s="19">
        <v>46135.49375</v>
      </c>
      <c r="N53" s="19">
        <v>46137.520833333336</v>
      </c>
      <c r="O53" s="15" t="s">
        <v>33</v>
      </c>
      <c r="P53" s="15" t="s">
        <v>1744</v>
      </c>
      <c r="Q53" s="15" t="s">
        <v>33</v>
      </c>
      <c r="R53" s="15" t="s">
        <v>1745</v>
      </c>
      <c r="S53" s="15" t="s">
        <v>33</v>
      </c>
      <c r="T53" s="15" t="s">
        <v>1144</v>
      </c>
      <c r="U53" s="15">
        <f t="shared" ref="U53:U55" si="21">TEXT(D53-C53,"[mm]")/60</f>
        <v>0.2333333333</v>
      </c>
      <c r="V53" s="15">
        <f t="shared" ref="V53:V55" si="22">TEXT(F53-E53,"[mm]")/60</f>
        <v>0.4</v>
      </c>
      <c r="W53" s="15">
        <f>TEXT(H53-G53,"[mm]")/60</f>
        <v>7.733333333</v>
      </c>
      <c r="X53" s="15">
        <f>TEXT(J53-I53,"[mm]")/60</f>
        <v>25.2</v>
      </c>
      <c r="Y53" s="15">
        <f>TEXT(L53-K53,"[mm]")/60</f>
        <v>22.78333333</v>
      </c>
      <c r="Z53" s="15">
        <f>TEXT(N53-M53,"[mm]")/60</f>
        <v>48.65</v>
      </c>
      <c r="AA53" s="20" t="s">
        <v>33</v>
      </c>
      <c r="AB53" s="20" t="s">
        <v>33</v>
      </c>
      <c r="AC53" s="20" t="s">
        <v>33</v>
      </c>
      <c r="AD53" s="15">
        <f t="shared" ref="AD53:AD55" si="23">AVERAGE(U53:AC53)</f>
        <v>17.5</v>
      </c>
      <c r="AE53" s="15" t="s">
        <v>34</v>
      </c>
      <c r="AF53" s="15" t="s">
        <v>35</v>
      </c>
      <c r="AG53" s="15" t="s">
        <v>35</v>
      </c>
      <c r="AH53" s="15">
        <f t="shared" si="3"/>
        <v>10</v>
      </c>
      <c r="AI53" s="15"/>
      <c r="AJ53" s="15" t="s">
        <v>61</v>
      </c>
    </row>
    <row r="54" ht="15.75" customHeight="1">
      <c r="A54" s="15" t="s">
        <v>1483</v>
      </c>
      <c r="B54" s="16" t="s">
        <v>1746</v>
      </c>
      <c r="C54" s="15" t="s">
        <v>1747</v>
      </c>
      <c r="D54" s="15" t="s">
        <v>1748</v>
      </c>
      <c r="E54" s="15" t="s">
        <v>1749</v>
      </c>
      <c r="F54" s="15" t="s">
        <v>1750</v>
      </c>
      <c r="G54" s="15" t="s">
        <v>33</v>
      </c>
      <c r="H54" s="15" t="s">
        <v>33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15">
        <f t="shared" si="21"/>
        <v>0.05</v>
      </c>
      <c r="V54" s="15">
        <f t="shared" si="22"/>
        <v>193.85</v>
      </c>
      <c r="W54" s="20" t="s">
        <v>33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15">
        <f t="shared" si="23"/>
        <v>96.95</v>
      </c>
      <c r="AE54" s="15" t="s">
        <v>34</v>
      </c>
      <c r="AF54" s="15" t="s">
        <v>35</v>
      </c>
      <c r="AG54" s="15" t="s">
        <v>35</v>
      </c>
      <c r="AH54" s="15">
        <f t="shared" si="3"/>
        <v>10</v>
      </c>
      <c r="AI54" s="15"/>
      <c r="AJ54" s="15" t="s">
        <v>61</v>
      </c>
    </row>
    <row r="55" ht="15.75" customHeight="1">
      <c r="A55" s="15" t="s">
        <v>1483</v>
      </c>
      <c r="B55" s="16" t="s">
        <v>1751</v>
      </c>
      <c r="C55" s="15" t="s">
        <v>1752</v>
      </c>
      <c r="D55" s="15" t="s">
        <v>1753</v>
      </c>
      <c r="E55" s="19">
        <v>46137.63402777778</v>
      </c>
      <c r="F55" s="19">
        <v>46138.027083333334</v>
      </c>
      <c r="G55" s="15" t="s">
        <v>33</v>
      </c>
      <c r="H55" s="15" t="s">
        <v>1754</v>
      </c>
      <c r="I55" s="15" t="s">
        <v>33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15">
        <f t="shared" si="21"/>
        <v>0.1333333333</v>
      </c>
      <c r="V55" s="15">
        <f t="shared" si="22"/>
        <v>9.433333333</v>
      </c>
      <c r="W55" s="20" t="s">
        <v>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15">
        <f t="shared" si="23"/>
        <v>4.783333333</v>
      </c>
      <c r="AE55" s="15" t="s">
        <v>34</v>
      </c>
      <c r="AF55" s="15" t="s">
        <v>35</v>
      </c>
      <c r="AG55" s="15" t="s">
        <v>35</v>
      </c>
      <c r="AH55" s="15">
        <f t="shared" si="3"/>
        <v>10</v>
      </c>
      <c r="AI55" s="15"/>
      <c r="AJ55" s="15" t="s">
        <v>61</v>
      </c>
    </row>
    <row r="56" ht="15.75" customHeight="1">
      <c r="A56" s="15" t="s">
        <v>1483</v>
      </c>
      <c r="B56" s="16" t="s">
        <v>1755</v>
      </c>
      <c r="C56" s="15" t="s">
        <v>1756</v>
      </c>
      <c r="D56" s="15" t="s">
        <v>33</v>
      </c>
      <c r="E56" s="15" t="s">
        <v>33</v>
      </c>
      <c r="F56" s="15" t="s">
        <v>33</v>
      </c>
      <c r="G56" s="15" t="s">
        <v>33</v>
      </c>
      <c r="H56" s="15" t="s">
        <v>33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20" t="s">
        <v>33</v>
      </c>
      <c r="V56" s="20" t="s">
        <v>33</v>
      </c>
      <c r="W56" s="20" t="s">
        <v>33</v>
      </c>
      <c r="X56" s="20" t="s">
        <v>33</v>
      </c>
      <c r="Y56" s="20" t="s">
        <v>33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20" t="s">
        <v>33</v>
      </c>
      <c r="AE56" s="15" t="s">
        <v>35</v>
      </c>
      <c r="AF56" s="15" t="s">
        <v>35</v>
      </c>
      <c r="AG56" s="15" t="s">
        <v>35</v>
      </c>
      <c r="AH56" s="15">
        <f t="shared" si="3"/>
        <v>-15</v>
      </c>
      <c r="AI56" s="15"/>
      <c r="AJ56" s="15" t="s">
        <v>61</v>
      </c>
    </row>
    <row r="57" ht="15.75" customHeight="1">
      <c r="A57" s="15" t="s">
        <v>1483</v>
      </c>
      <c r="B57" s="16" t="s">
        <v>1757</v>
      </c>
      <c r="C57" s="15" t="s">
        <v>1758</v>
      </c>
      <c r="D57" s="15" t="s">
        <v>33</v>
      </c>
      <c r="E57" s="15" t="s">
        <v>33</v>
      </c>
      <c r="F57" s="15" t="s">
        <v>33</v>
      </c>
      <c r="G57" s="15" t="s">
        <v>33</v>
      </c>
      <c r="H57" s="15" t="s">
        <v>33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20" t="s">
        <v>33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20" t="s">
        <v>33</v>
      </c>
      <c r="AE57" s="15" t="s">
        <v>35</v>
      </c>
      <c r="AF57" s="15" t="s">
        <v>35</v>
      </c>
      <c r="AG57" s="15" t="s">
        <v>35</v>
      </c>
      <c r="AH57" s="15">
        <f t="shared" si="3"/>
        <v>-15</v>
      </c>
      <c r="AI57" s="15"/>
      <c r="AJ57" s="15" t="s">
        <v>61</v>
      </c>
    </row>
    <row r="58" ht="15.75" customHeight="1">
      <c r="A58" s="15" t="s">
        <v>1483</v>
      </c>
      <c r="B58" s="16" t="s">
        <v>1759</v>
      </c>
      <c r="C58" s="15" t="s">
        <v>1760</v>
      </c>
      <c r="D58" s="15" t="s">
        <v>1761</v>
      </c>
      <c r="E58" s="19">
        <v>46146.52777777778</v>
      </c>
      <c r="F58" s="19">
        <v>46147.94583333333</v>
      </c>
      <c r="G58" s="19">
        <v>46148.45763888889</v>
      </c>
      <c r="H58" s="19">
        <v>46152.59861111111</v>
      </c>
      <c r="I58" s="19">
        <v>46152.62569444445</v>
      </c>
      <c r="J58" s="19">
        <v>46161.54722222222</v>
      </c>
      <c r="K58" s="15" t="s">
        <v>33</v>
      </c>
      <c r="L58" s="15" t="s">
        <v>1762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ref="U58:U60" si="24">TEXT(D58-C58,"[mm]")/60</f>
        <v>10.43333333</v>
      </c>
      <c r="V58" s="15">
        <f t="shared" ref="V58:V60" si="25">TEXT(F58-E58,"[mm]")/60</f>
        <v>34.03333333</v>
      </c>
      <c r="W58" s="15">
        <f>TEXT(H58-G58,"[mm]")/60</f>
        <v>99.38333333</v>
      </c>
      <c r="X58" s="15">
        <f>TEXT(J58-I58,"[mm]")/60</f>
        <v>214.1166667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15">
        <f t="shared" ref="AD58:AD60" si="26">AVERAGE(U58:AC58)</f>
        <v>89.49166667</v>
      </c>
      <c r="AE58" s="15" t="s">
        <v>34</v>
      </c>
      <c r="AF58" s="15" t="s">
        <v>35</v>
      </c>
      <c r="AG58" s="15" t="s">
        <v>35</v>
      </c>
      <c r="AH58" s="15">
        <f t="shared" si="3"/>
        <v>10</v>
      </c>
      <c r="AI58" s="15"/>
      <c r="AJ58" s="15" t="s">
        <v>61</v>
      </c>
    </row>
    <row r="59" ht="15.75" customHeight="1">
      <c r="A59" s="15" t="s">
        <v>1483</v>
      </c>
      <c r="B59" s="16" t="s">
        <v>1763</v>
      </c>
      <c r="C59" s="15" t="s">
        <v>1764</v>
      </c>
      <c r="D59" s="15" t="s">
        <v>1765</v>
      </c>
      <c r="E59" s="15" t="s">
        <v>1766</v>
      </c>
      <c r="F59" s="15" t="s">
        <v>1767</v>
      </c>
      <c r="G59" s="15" t="s">
        <v>33</v>
      </c>
      <c r="H59" s="15" t="s">
        <v>33</v>
      </c>
      <c r="I59" s="15" t="s">
        <v>33</v>
      </c>
      <c r="J59" s="15" t="s">
        <v>33</v>
      </c>
      <c r="K59" s="15" t="s">
        <v>33</v>
      </c>
      <c r="L59" s="15" t="s">
        <v>33</v>
      </c>
      <c r="M59" s="15" t="s">
        <v>33</v>
      </c>
      <c r="N59" s="15" t="s">
        <v>33</v>
      </c>
      <c r="O59" s="15" t="s">
        <v>33</v>
      </c>
      <c r="P59" s="15" t="s">
        <v>33</v>
      </c>
      <c r="Q59" s="15" t="s">
        <v>33</v>
      </c>
      <c r="R59" s="15" t="s">
        <v>33</v>
      </c>
      <c r="S59" s="15" t="s">
        <v>33</v>
      </c>
      <c r="T59" s="15" t="s">
        <v>33</v>
      </c>
      <c r="U59" s="15">
        <f t="shared" si="24"/>
        <v>0.06666666667</v>
      </c>
      <c r="V59" s="15">
        <f t="shared" si="25"/>
        <v>79.08333333</v>
      </c>
      <c r="W59" s="20" t="s">
        <v>33</v>
      </c>
      <c r="X59" s="20" t="s">
        <v>33</v>
      </c>
      <c r="Y59" s="20" t="s">
        <v>33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si="26"/>
        <v>39.575</v>
      </c>
      <c r="AE59" s="15" t="s">
        <v>34</v>
      </c>
      <c r="AF59" s="15" t="s">
        <v>35</v>
      </c>
      <c r="AG59" s="15" t="s">
        <v>35</v>
      </c>
      <c r="AH59" s="15">
        <f t="shared" si="3"/>
        <v>10</v>
      </c>
      <c r="AI59" s="15"/>
      <c r="AJ59" s="15" t="s">
        <v>61</v>
      </c>
    </row>
    <row r="60" ht="15.75" customHeight="1">
      <c r="A60" s="15" t="s">
        <v>1483</v>
      </c>
      <c r="B60" s="16" t="s">
        <v>1768</v>
      </c>
      <c r="C60" s="15" t="s">
        <v>1769</v>
      </c>
      <c r="D60" s="15" t="s">
        <v>1770</v>
      </c>
      <c r="E60" s="15" t="s">
        <v>1771</v>
      </c>
      <c r="F60" s="15" t="s">
        <v>1772</v>
      </c>
      <c r="G60" s="15" t="s">
        <v>1773</v>
      </c>
      <c r="H60" s="15" t="s">
        <v>1774</v>
      </c>
      <c r="I60" s="15" t="s">
        <v>33</v>
      </c>
      <c r="J60" s="15" t="s">
        <v>1073</v>
      </c>
      <c r="K60" s="15" t="s">
        <v>33</v>
      </c>
      <c r="L60" s="15" t="s">
        <v>1775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15">
        <f t="shared" si="24"/>
        <v>0.06666666667</v>
      </c>
      <c r="V60" s="15">
        <f t="shared" si="25"/>
        <v>16.85</v>
      </c>
      <c r="W60" s="15">
        <f>TEXT(H60-G60,"[mm]")/60</f>
        <v>1.266666667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15">
        <f t="shared" si="26"/>
        <v>6.061111111</v>
      </c>
      <c r="AE60" s="15" t="s">
        <v>34</v>
      </c>
      <c r="AF60" s="15" t="s">
        <v>35</v>
      </c>
      <c r="AG60" s="15" t="s">
        <v>35</v>
      </c>
      <c r="AH60" s="15">
        <f t="shared" si="3"/>
        <v>10</v>
      </c>
      <c r="AI60" s="15"/>
      <c r="AJ60" s="15" t="s">
        <v>61</v>
      </c>
    </row>
    <row r="61" ht="15.75" customHeight="1">
      <c r="A61" s="15" t="s">
        <v>1483</v>
      </c>
      <c r="B61" s="16" t="s">
        <v>1776</v>
      </c>
      <c r="C61" s="15" t="s">
        <v>1777</v>
      </c>
      <c r="D61" s="15" t="s">
        <v>33</v>
      </c>
      <c r="E61" s="15" t="s">
        <v>33</v>
      </c>
      <c r="F61" s="15" t="s">
        <v>33</v>
      </c>
      <c r="G61" s="15" t="s">
        <v>33</v>
      </c>
      <c r="H61" s="15" t="s">
        <v>33</v>
      </c>
      <c r="I61" s="15" t="s">
        <v>33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20" t="s">
        <v>33</v>
      </c>
      <c r="V61" s="20" t="s">
        <v>33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20" t="s">
        <v>33</v>
      </c>
      <c r="AE61" s="15" t="s">
        <v>35</v>
      </c>
      <c r="AF61" s="15" t="s">
        <v>35</v>
      </c>
      <c r="AG61" s="15" t="s">
        <v>35</v>
      </c>
      <c r="AH61" s="15">
        <f t="shared" si="3"/>
        <v>-15</v>
      </c>
      <c r="AI61" s="15"/>
      <c r="AJ61" s="15" t="s">
        <v>61</v>
      </c>
    </row>
    <row r="62" ht="15.75" customHeight="1">
      <c r="A62" s="15" t="s">
        <v>1483</v>
      </c>
      <c r="B62" s="16" t="s">
        <v>1778</v>
      </c>
      <c r="C62" s="15" t="s">
        <v>1779</v>
      </c>
      <c r="D62" s="15" t="s">
        <v>1780</v>
      </c>
      <c r="E62" s="15" t="s">
        <v>33</v>
      </c>
      <c r="F62" s="15" t="s">
        <v>33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>TEXT(D62-C62,"[mm]")/60</f>
        <v>0.05</v>
      </c>
      <c r="V62" s="20" t="s">
        <v>33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15">
        <f>AVERAGE(U62:AC62)</f>
        <v>0.05</v>
      </c>
      <c r="AE62" s="15" t="s">
        <v>34</v>
      </c>
      <c r="AF62" s="15" t="s">
        <v>35</v>
      </c>
      <c r="AG62" s="15" t="s">
        <v>35</v>
      </c>
      <c r="AH62" s="15">
        <f t="shared" si="3"/>
        <v>10</v>
      </c>
      <c r="AI62" s="15"/>
      <c r="AJ62" s="15" t="s">
        <v>61</v>
      </c>
    </row>
    <row r="63" ht="15.75" customHeight="1">
      <c r="A63" s="15" t="s">
        <v>1483</v>
      </c>
      <c r="B63" s="16" t="s">
        <v>1781</v>
      </c>
      <c r="C63" s="15" t="s">
        <v>1782</v>
      </c>
      <c r="D63" s="15" t="s">
        <v>33</v>
      </c>
      <c r="E63" s="15" t="s">
        <v>33</v>
      </c>
      <c r="F63" s="15" t="s">
        <v>33</v>
      </c>
      <c r="G63" s="15" t="s">
        <v>33</v>
      </c>
      <c r="H63" s="15" t="s">
        <v>33</v>
      </c>
      <c r="I63" s="15" t="s">
        <v>33</v>
      </c>
      <c r="J63" s="15" t="s">
        <v>33</v>
      </c>
      <c r="K63" s="15" t="s">
        <v>33</v>
      </c>
      <c r="L63" s="15" t="s">
        <v>33</v>
      </c>
      <c r="M63" s="15" t="s">
        <v>33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20" t="s">
        <v>33</v>
      </c>
      <c r="V63" s="20" t="s">
        <v>33</v>
      </c>
      <c r="W63" s="20" t="s">
        <v>33</v>
      </c>
      <c r="X63" s="20" t="s">
        <v>33</v>
      </c>
      <c r="Y63" s="20" t="s">
        <v>33</v>
      </c>
      <c r="Z63" s="20" t="s">
        <v>33</v>
      </c>
      <c r="AA63" s="20" t="s">
        <v>33</v>
      </c>
      <c r="AB63" s="20" t="s">
        <v>33</v>
      </c>
      <c r="AC63" s="20" t="s">
        <v>33</v>
      </c>
      <c r="AD63" s="20" t="s">
        <v>33</v>
      </c>
      <c r="AE63" s="15" t="s">
        <v>35</v>
      </c>
      <c r="AF63" s="15" t="s">
        <v>35</v>
      </c>
      <c r="AG63" s="15" t="s">
        <v>35</v>
      </c>
      <c r="AH63" s="15">
        <f t="shared" si="3"/>
        <v>-15</v>
      </c>
      <c r="AI63" s="15"/>
      <c r="AJ63" s="15" t="s">
        <v>61</v>
      </c>
    </row>
    <row r="64" ht="15.75" customHeight="1">
      <c r="A64" s="15" t="s">
        <v>1483</v>
      </c>
      <c r="B64" s="16" t="s">
        <v>1783</v>
      </c>
      <c r="C64" s="15" t="s">
        <v>1784</v>
      </c>
      <c r="D64" s="15" t="s">
        <v>1785</v>
      </c>
      <c r="E64" s="15" t="s">
        <v>1786</v>
      </c>
      <c r="F64" s="15" t="s">
        <v>1787</v>
      </c>
      <c r="G64" s="15" t="s">
        <v>1788</v>
      </c>
      <c r="H64" s="15" t="s">
        <v>1789</v>
      </c>
      <c r="I64" s="15" t="s">
        <v>1790</v>
      </c>
      <c r="J64" s="15" t="s">
        <v>33</v>
      </c>
      <c r="K64" s="15" t="s">
        <v>985</v>
      </c>
      <c r="L64" s="15" t="s">
        <v>33</v>
      </c>
      <c r="M64" s="15" t="s">
        <v>1791</v>
      </c>
      <c r="N64" s="15" t="s">
        <v>33</v>
      </c>
      <c r="O64" s="15" t="s">
        <v>1792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15">
        <f t="shared" ref="U64:U66" si="27">TEXT(D64-C64,"[mm]")/60</f>
        <v>15.05</v>
      </c>
      <c r="V64" s="15">
        <f>TEXT(F64-E64,"[mm]")/60</f>
        <v>38.08333333</v>
      </c>
      <c r="W64" s="15">
        <f>TEXT(H64-G64,"[mm]")/60</f>
        <v>37.81666667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15">
        <f t="shared" ref="AD64:AD66" si="28">AVERAGE(U64:AC64)</f>
        <v>30.31666667</v>
      </c>
      <c r="AE64" s="15" t="s">
        <v>34</v>
      </c>
      <c r="AF64" s="15" t="s">
        <v>35</v>
      </c>
      <c r="AG64" s="15" t="s">
        <v>35</v>
      </c>
      <c r="AH64" s="15">
        <f t="shared" si="3"/>
        <v>10</v>
      </c>
      <c r="AI64" s="15"/>
      <c r="AJ64" s="15" t="s">
        <v>61</v>
      </c>
    </row>
    <row r="65" ht="15.75" customHeight="1">
      <c r="A65" s="15" t="s">
        <v>1483</v>
      </c>
      <c r="B65" s="16" t="s">
        <v>1793</v>
      </c>
      <c r="C65" s="15" t="s">
        <v>1794</v>
      </c>
      <c r="D65" s="15" t="s">
        <v>1795</v>
      </c>
      <c r="E65" s="15" t="s">
        <v>33</v>
      </c>
      <c r="F65" s="15" t="s">
        <v>709</v>
      </c>
      <c r="G65" s="15" t="s">
        <v>33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si="27"/>
        <v>0.4833333333</v>
      </c>
      <c r="V65" s="20" t="s">
        <v>33</v>
      </c>
      <c r="W65" s="20" t="s">
        <v>33</v>
      </c>
      <c r="X65" s="20" t="s">
        <v>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si="28"/>
        <v>0.4833333333</v>
      </c>
      <c r="AE65" s="15" t="s">
        <v>34</v>
      </c>
      <c r="AF65" s="15" t="s">
        <v>35</v>
      </c>
      <c r="AG65" s="15" t="s">
        <v>35</v>
      </c>
      <c r="AH65" s="15">
        <f t="shared" si="3"/>
        <v>10</v>
      </c>
      <c r="AI65" s="15"/>
      <c r="AJ65" s="15" t="s">
        <v>61</v>
      </c>
    </row>
    <row r="66" ht="15.75" customHeight="1">
      <c r="A66" s="15" t="s">
        <v>1483</v>
      </c>
      <c r="B66" s="16" t="s">
        <v>1796</v>
      </c>
      <c r="C66" s="15" t="s">
        <v>1797</v>
      </c>
      <c r="D66" s="15" t="s">
        <v>1798</v>
      </c>
      <c r="E66" s="15" t="s">
        <v>1799</v>
      </c>
      <c r="F66" s="15" t="s">
        <v>1092</v>
      </c>
      <c r="G66" s="15" t="s">
        <v>1800</v>
      </c>
      <c r="H66" s="15" t="s">
        <v>1801</v>
      </c>
      <c r="I66" s="19">
        <v>46133.725</v>
      </c>
      <c r="J66" s="19">
        <v>46135.865277777775</v>
      </c>
      <c r="K66" s="19">
        <v>46135.71597222222</v>
      </c>
      <c r="L66" s="19">
        <v>46136.74444444444</v>
      </c>
      <c r="M66" s="15" t="s">
        <v>1802</v>
      </c>
      <c r="N66" s="15" t="s">
        <v>1803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>
        <f t="shared" si="27"/>
        <v>0.65</v>
      </c>
      <c r="V66" s="15">
        <f>TEXT(F66-E66,"[mm]")/60</f>
        <v>16.05</v>
      </c>
      <c r="W66" s="15">
        <f>TEXT(H66-G66,"[mm]")/60</f>
        <v>0.3666666667</v>
      </c>
      <c r="X66" s="15">
        <f>TEXT(J66-I66,"[mm]")/60</f>
        <v>51.36666667</v>
      </c>
      <c r="Y66" s="15">
        <f>TEXT(L66-K66,"[mm]")/60</f>
        <v>24.68333333</v>
      </c>
      <c r="Z66" s="15">
        <f>TEXT(N66-M66,"[mm]")/60</f>
        <v>0.1833333333</v>
      </c>
      <c r="AA66" s="20" t="s">
        <v>33</v>
      </c>
      <c r="AB66" s="20" t="s">
        <v>33</v>
      </c>
      <c r="AC66" s="20" t="s">
        <v>33</v>
      </c>
      <c r="AD66" s="15">
        <f t="shared" si="28"/>
        <v>15.55</v>
      </c>
      <c r="AE66" s="15" t="s">
        <v>34</v>
      </c>
      <c r="AF66" s="15" t="s">
        <v>35</v>
      </c>
      <c r="AG66" s="15" t="s">
        <v>35</v>
      </c>
      <c r="AH66" s="15">
        <f t="shared" si="3"/>
        <v>10</v>
      </c>
      <c r="AI66" s="15"/>
      <c r="AJ66" s="15" t="s">
        <v>61</v>
      </c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>
        <f>AVERAGE(AD2:AD66)</f>
        <v>29.56303498</v>
      </c>
      <c r="AE67" s="22"/>
      <c r="AF67" s="22"/>
      <c r="AG67" s="22"/>
      <c r="AH67" s="22">
        <f>SUM(AH3:AH66)</f>
        <v>380</v>
      </c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</hyperlinks>
  <printOptions/>
  <pageMargins bottom="1.0" footer="0.0" header="0.0" left="0.75" right="0.75" top="1.0"/>
  <pageSetup orientation="landscape"/>
  <drawing r:id="rId6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80.86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1804</v>
      </c>
      <c r="B3" s="16" t="s">
        <v>1805</v>
      </c>
      <c r="C3" s="15" t="s">
        <v>1806</v>
      </c>
      <c r="D3" s="15" t="s">
        <v>33</v>
      </c>
      <c r="E3" s="15" t="s">
        <v>1807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20" t="s">
        <v>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35</v>
      </c>
      <c r="AF3" s="15" t="s">
        <v>35</v>
      </c>
      <c r="AG3" s="15" t="s">
        <v>35</v>
      </c>
      <c r="AH3" s="15">
        <f t="shared" ref="AH3:AH7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1804</v>
      </c>
      <c r="B4" s="16" t="s">
        <v>1808</v>
      </c>
      <c r="C4" s="15" t="s">
        <v>1809</v>
      </c>
      <c r="D4" s="15" t="s">
        <v>1810</v>
      </c>
      <c r="E4" s="15" t="s">
        <v>1811</v>
      </c>
      <c r="F4" s="15" t="s">
        <v>1812</v>
      </c>
      <c r="G4" s="15" t="s">
        <v>1449</v>
      </c>
      <c r="H4" s="15" t="s">
        <v>1813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ref="U4:U6" si="2">TEXT(D4-C4,"[mm]")/60</f>
        <v>16.66666667</v>
      </c>
      <c r="V4" s="15">
        <f t="shared" ref="V4:V5" si="3">TEXT(F4-E4,"[mm]")/60</f>
        <v>5.383333333</v>
      </c>
      <c r="W4" s="15">
        <f t="shared" ref="W4:W5" si="4">TEXT(H4-G4,"[mm]")/60</f>
        <v>14.68333333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ref="AD4:AD6" si="5">AVERAGE(U4:AC4)</f>
        <v>12.24444444</v>
      </c>
      <c r="AE4" s="15" t="s">
        <v>34</v>
      </c>
      <c r="AF4" s="15" t="s">
        <v>35</v>
      </c>
      <c r="AG4" s="15" t="s">
        <v>35</v>
      </c>
      <c r="AH4" s="15">
        <f t="shared" si="1"/>
        <v>10</v>
      </c>
      <c r="AI4" s="15"/>
      <c r="AJ4" s="15" t="s">
        <v>61</v>
      </c>
    </row>
    <row r="5" ht="15.75" customHeight="1">
      <c r="A5" s="15" t="s">
        <v>1804</v>
      </c>
      <c r="B5" s="16" t="s">
        <v>1814</v>
      </c>
      <c r="C5" s="15" t="s">
        <v>1815</v>
      </c>
      <c r="D5" s="15" t="s">
        <v>1816</v>
      </c>
      <c r="E5" s="15" t="s">
        <v>1817</v>
      </c>
      <c r="F5" s="15" t="s">
        <v>1479</v>
      </c>
      <c r="G5" s="15" t="s">
        <v>1818</v>
      </c>
      <c r="H5" s="15" t="s">
        <v>1819</v>
      </c>
      <c r="I5" s="15" t="s">
        <v>1820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2"/>
        <v>0.5666666667</v>
      </c>
      <c r="V5" s="15">
        <f t="shared" si="3"/>
        <v>12.63333333</v>
      </c>
      <c r="W5" s="15">
        <f t="shared" si="4"/>
        <v>1.25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5"/>
        <v>4.816666667</v>
      </c>
      <c r="AE5" s="15" t="s">
        <v>34</v>
      </c>
      <c r="AF5" s="15" t="s">
        <v>35</v>
      </c>
      <c r="AG5" s="15" t="s">
        <v>35</v>
      </c>
      <c r="AH5" s="15">
        <f t="shared" si="1"/>
        <v>10</v>
      </c>
      <c r="AI5" s="15"/>
      <c r="AJ5" s="15" t="s">
        <v>61</v>
      </c>
    </row>
    <row r="6" ht="15.75" customHeight="1">
      <c r="A6" s="15" t="s">
        <v>1804</v>
      </c>
      <c r="B6" s="16" t="s">
        <v>1821</v>
      </c>
      <c r="C6" s="15" t="s">
        <v>1822</v>
      </c>
      <c r="D6" s="15" t="s">
        <v>1823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2"/>
        <v>23.91666667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5"/>
        <v>23.91666667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1804</v>
      </c>
      <c r="B7" s="16" t="s">
        <v>1824</v>
      </c>
      <c r="C7" s="15" t="s">
        <v>1825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20" t="s">
        <v>33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20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>
        <f>AVERAGE(AD2:AD7)</f>
        <v>13.65925926</v>
      </c>
      <c r="AE8" s="22"/>
      <c r="AF8" s="22"/>
      <c r="AG8" s="22"/>
      <c r="AH8" s="22">
        <f>sum(AH3:AH7)</f>
        <v>0</v>
      </c>
      <c r="AI8" s="22"/>
      <c r="AJ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</sheetData>
  <hyperlinks>
    <hyperlink r:id="rId1" ref="B3"/>
    <hyperlink r:id="rId2" ref="B4"/>
    <hyperlink r:id="rId3" ref="B5"/>
    <hyperlink r:id="rId4" ref="B6"/>
    <hyperlink r:id="rId5" ref="B7"/>
  </hyperlinks>
  <printOptions/>
  <pageMargins bottom="1.0" footer="0.0" header="0.0" left="0.75" right="0.75" top="1.0"/>
  <pageSetup orientation="landscape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72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1826</v>
      </c>
      <c r="B3" s="23" t="s">
        <v>1827</v>
      </c>
      <c r="C3" s="15" t="s">
        <v>1588</v>
      </c>
      <c r="D3" s="15" t="s">
        <v>33</v>
      </c>
      <c r="E3" s="15" t="s">
        <v>1828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20" t="s">
        <v>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35</v>
      </c>
      <c r="AF3" s="15" t="s">
        <v>35</v>
      </c>
      <c r="AG3" s="15" t="s">
        <v>35</v>
      </c>
      <c r="AH3" s="15">
        <f t="shared" ref="AH3:AH71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1826</v>
      </c>
      <c r="B4" s="23" t="s">
        <v>1829</v>
      </c>
      <c r="C4" s="15" t="s">
        <v>1502</v>
      </c>
      <c r="D4" s="15" t="s">
        <v>610</v>
      </c>
      <c r="E4" s="15" t="s">
        <v>1830</v>
      </c>
      <c r="F4" s="15" t="s">
        <v>1232</v>
      </c>
      <c r="G4" s="15" t="s">
        <v>1831</v>
      </c>
      <c r="H4" s="15" t="s">
        <v>1832</v>
      </c>
      <c r="I4" s="15" t="s">
        <v>1833</v>
      </c>
      <c r="J4" s="15" t="s">
        <v>1834</v>
      </c>
      <c r="K4" s="15" t="s">
        <v>1835</v>
      </c>
      <c r="L4" s="15" t="s">
        <v>1836</v>
      </c>
      <c r="M4" s="15" t="s">
        <v>1837</v>
      </c>
      <c r="N4" s="15" t="s">
        <v>1838</v>
      </c>
      <c r="O4" s="15" t="s">
        <v>1839</v>
      </c>
      <c r="P4" s="15" t="s">
        <v>1840</v>
      </c>
      <c r="Q4" s="15" t="s">
        <v>1841</v>
      </c>
      <c r="R4" s="15" t="s">
        <v>1842</v>
      </c>
      <c r="S4" s="15" t="s">
        <v>1843</v>
      </c>
      <c r="T4" s="15" t="s">
        <v>33</v>
      </c>
      <c r="U4" s="15">
        <f t="shared" ref="U4:U7" si="2">TEXT(D4-C4,"[mm]")/60</f>
        <v>0.3</v>
      </c>
      <c r="V4" s="15">
        <f>TEXT(F4-E4,"[mm]")/60</f>
        <v>18.88333333</v>
      </c>
      <c r="W4" s="15">
        <f>TEXT(H4-G4,"[mm]")/60</f>
        <v>25.66666667</v>
      </c>
      <c r="X4" s="15">
        <f>TEXT(J4-I4,"[mm]")/60</f>
        <v>73.56666667</v>
      </c>
      <c r="Y4" s="15">
        <f>TEXT(L4-K4,"[mm]")/60</f>
        <v>43.13333333</v>
      </c>
      <c r="Z4" s="15">
        <f>TEXT(N4-M4,"[mm]")/60</f>
        <v>67.11666667</v>
      </c>
      <c r="AA4" s="15">
        <f>TEXT(P4-O4,"[mm]")/60</f>
        <v>46.5</v>
      </c>
      <c r="AB4" s="15">
        <f>TEXT(R4-Q4,"[mm]")/60</f>
        <v>67.25</v>
      </c>
      <c r="AC4" s="20" t="s">
        <v>33</v>
      </c>
      <c r="AD4" s="15">
        <f t="shared" ref="AD4:AD7" si="3">AVERAGE(U4:AC4)</f>
        <v>42.80208333</v>
      </c>
      <c r="AE4" s="15" t="s">
        <v>34</v>
      </c>
      <c r="AF4" s="15" t="s">
        <v>35</v>
      </c>
      <c r="AG4" s="15" t="s">
        <v>35</v>
      </c>
      <c r="AH4" s="15">
        <f t="shared" si="1"/>
        <v>10</v>
      </c>
      <c r="AI4" s="15"/>
      <c r="AJ4" s="15" t="s">
        <v>61</v>
      </c>
    </row>
    <row r="5" ht="15.75" customHeight="1">
      <c r="A5" s="15" t="s">
        <v>1826</v>
      </c>
      <c r="B5" s="23" t="s">
        <v>1844</v>
      </c>
      <c r="C5" s="15" t="s">
        <v>841</v>
      </c>
      <c r="D5" s="15" t="s">
        <v>1845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2"/>
        <v>0.08333333333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3"/>
        <v>0.08333333333</v>
      </c>
      <c r="AE5" s="15" t="s">
        <v>34</v>
      </c>
      <c r="AF5" s="15" t="s">
        <v>35</v>
      </c>
      <c r="AG5" s="15" t="s">
        <v>35</v>
      </c>
      <c r="AH5" s="15">
        <f t="shared" si="1"/>
        <v>10</v>
      </c>
      <c r="AI5" s="15"/>
      <c r="AJ5" s="15" t="s">
        <v>61</v>
      </c>
    </row>
    <row r="6" ht="15.75" customHeight="1">
      <c r="A6" s="15" t="s">
        <v>1826</v>
      </c>
      <c r="B6" s="23" t="s">
        <v>1846</v>
      </c>
      <c r="C6" s="15" t="s">
        <v>1534</v>
      </c>
      <c r="D6" s="15" t="s">
        <v>1847</v>
      </c>
      <c r="E6" s="15" t="s">
        <v>1848</v>
      </c>
      <c r="F6" s="15" t="s">
        <v>1849</v>
      </c>
      <c r="G6" s="15" t="s">
        <v>33</v>
      </c>
      <c r="H6" s="15" t="s">
        <v>1850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2"/>
        <v>0.06666666667</v>
      </c>
      <c r="V6" s="15">
        <f t="shared" ref="V6:V7" si="4">TEXT(F6-E6,"[mm]")/60</f>
        <v>0.03333333333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3"/>
        <v>0.05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1826</v>
      </c>
      <c r="B7" s="23" t="s">
        <v>1851</v>
      </c>
      <c r="C7" s="15" t="s">
        <v>1852</v>
      </c>
      <c r="D7" s="15" t="s">
        <v>1853</v>
      </c>
      <c r="E7" s="15" t="s">
        <v>1854</v>
      </c>
      <c r="F7" s="15" t="s">
        <v>1855</v>
      </c>
      <c r="G7" s="15" t="s">
        <v>1856</v>
      </c>
      <c r="H7" s="15" t="s">
        <v>1857</v>
      </c>
      <c r="I7" s="15" t="s">
        <v>1858</v>
      </c>
      <c r="J7" s="15" t="s">
        <v>33</v>
      </c>
      <c r="K7" s="15" t="s">
        <v>1859</v>
      </c>
      <c r="L7" s="15" t="s">
        <v>33</v>
      </c>
      <c r="M7" s="15" t="s">
        <v>1860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2"/>
        <v>16.78333333</v>
      </c>
      <c r="V7" s="15">
        <f t="shared" si="4"/>
        <v>40.75</v>
      </c>
      <c r="W7" s="15">
        <f>TEXT(H7-G7,"[mm]")/60</f>
        <v>88.73333333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3"/>
        <v>48.75555556</v>
      </c>
      <c r="AE7" s="15" t="s">
        <v>34</v>
      </c>
      <c r="AF7" s="15" t="s">
        <v>35</v>
      </c>
      <c r="AG7" s="15" t="s">
        <v>35</v>
      </c>
      <c r="AH7" s="15">
        <f t="shared" si="1"/>
        <v>10</v>
      </c>
      <c r="AI7" s="15"/>
      <c r="AJ7" s="15" t="s">
        <v>61</v>
      </c>
    </row>
    <row r="8" ht="15.75" customHeight="1">
      <c r="A8" s="15" t="s">
        <v>1826</v>
      </c>
      <c r="B8" s="23" t="s">
        <v>1861</v>
      </c>
      <c r="C8" s="15" t="s">
        <v>1862</v>
      </c>
      <c r="D8" s="15" t="s">
        <v>33</v>
      </c>
      <c r="E8" s="15" t="s">
        <v>1863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20" t="s">
        <v>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20" t="s">
        <v>33</v>
      </c>
      <c r="AE8" s="15" t="s">
        <v>35</v>
      </c>
      <c r="AF8" s="15" t="s">
        <v>35</v>
      </c>
      <c r="AG8" s="15" t="s">
        <v>35</v>
      </c>
      <c r="AH8" s="15">
        <f t="shared" si="1"/>
        <v>-15</v>
      </c>
      <c r="AI8" s="15"/>
      <c r="AJ8" s="15" t="s">
        <v>61</v>
      </c>
    </row>
    <row r="9" ht="15.75" customHeight="1">
      <c r="A9" s="15" t="s">
        <v>1826</v>
      </c>
      <c r="B9" s="23" t="s">
        <v>1864</v>
      </c>
      <c r="C9" s="15" t="s">
        <v>1865</v>
      </c>
      <c r="D9" s="15" t="s">
        <v>1866</v>
      </c>
      <c r="E9" s="15" t="s">
        <v>1867</v>
      </c>
      <c r="F9" s="15" t="s">
        <v>1868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ref="U9:U15" si="5">TEXT(D9-C9,"[mm]")/60</f>
        <v>0.06666666667</v>
      </c>
      <c r="V9" s="15">
        <f>TEXT(F9-E9,"[mm]")/60</f>
        <v>0.05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ref="AD9:AD15" si="6">AVERAGE(U9:AC9)</f>
        <v>0.05833333333</v>
      </c>
      <c r="AE9" s="15" t="s">
        <v>34</v>
      </c>
      <c r="AF9" s="15" t="s">
        <v>35</v>
      </c>
      <c r="AG9" s="15" t="s">
        <v>35</v>
      </c>
      <c r="AH9" s="15">
        <f t="shared" si="1"/>
        <v>10</v>
      </c>
      <c r="AI9" s="15"/>
      <c r="AJ9" s="15" t="s">
        <v>61</v>
      </c>
    </row>
    <row r="10" ht="15.75" customHeight="1">
      <c r="A10" s="15" t="s">
        <v>1826</v>
      </c>
      <c r="B10" s="23" t="s">
        <v>1869</v>
      </c>
      <c r="C10" s="15" t="s">
        <v>1870</v>
      </c>
      <c r="D10" s="15" t="s">
        <v>1871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si="5"/>
        <v>0.8666666667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si="6"/>
        <v>0.8666666667</v>
      </c>
      <c r="AE10" s="15" t="s">
        <v>34</v>
      </c>
      <c r="AF10" s="15" t="s">
        <v>35</v>
      </c>
      <c r="AG10" s="15" t="s">
        <v>35</v>
      </c>
      <c r="AH10" s="15">
        <f t="shared" si="1"/>
        <v>10</v>
      </c>
      <c r="AI10" s="15"/>
      <c r="AJ10" s="15" t="s">
        <v>61</v>
      </c>
    </row>
    <row r="11" ht="15.75" customHeight="1">
      <c r="A11" s="15" t="s">
        <v>1826</v>
      </c>
      <c r="B11" s="23" t="s">
        <v>1872</v>
      </c>
      <c r="C11" s="15" t="s">
        <v>1873</v>
      </c>
      <c r="D11" s="15" t="s">
        <v>1874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si="5"/>
        <v>25.51666667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si="6"/>
        <v>25.51666667</v>
      </c>
      <c r="AE11" s="15" t="s">
        <v>35</v>
      </c>
      <c r="AF11" s="15" t="s">
        <v>34</v>
      </c>
      <c r="AG11" s="15" t="s">
        <v>35</v>
      </c>
      <c r="AH11" s="15">
        <f t="shared" si="1"/>
        <v>5</v>
      </c>
      <c r="AI11" s="15"/>
      <c r="AJ11" s="15" t="s">
        <v>61</v>
      </c>
    </row>
    <row r="12" ht="15.75" customHeight="1">
      <c r="A12" s="15" t="s">
        <v>1826</v>
      </c>
      <c r="B12" s="23" t="s">
        <v>1875</v>
      </c>
      <c r="C12" s="15" t="s">
        <v>1876</v>
      </c>
      <c r="D12" s="15" t="s">
        <v>1877</v>
      </c>
      <c r="E12" s="19">
        <v>46140.44652777778</v>
      </c>
      <c r="F12" s="19">
        <v>46142.70208333333</v>
      </c>
      <c r="G12" s="15" t="s">
        <v>33</v>
      </c>
      <c r="H12" s="15" t="s">
        <v>1878</v>
      </c>
      <c r="I12" s="15" t="s">
        <v>33</v>
      </c>
      <c r="J12" s="15" t="s">
        <v>1879</v>
      </c>
      <c r="K12" s="15" t="s">
        <v>33</v>
      </c>
      <c r="L12" s="15" t="s">
        <v>1880</v>
      </c>
      <c r="M12" s="15" t="s">
        <v>33</v>
      </c>
      <c r="N12" s="15" t="s">
        <v>1881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5"/>
        <v>0.1333333333</v>
      </c>
      <c r="V12" s="15">
        <f>TEXT(F12-E12,"[mm]")/60</f>
        <v>54.13333333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6"/>
        <v>27.13333333</v>
      </c>
      <c r="AE12" s="15" t="s">
        <v>34</v>
      </c>
      <c r="AF12" s="15" t="s">
        <v>35</v>
      </c>
      <c r="AG12" s="15" t="s">
        <v>35</v>
      </c>
      <c r="AH12" s="15">
        <f t="shared" si="1"/>
        <v>10</v>
      </c>
      <c r="AI12" s="15"/>
      <c r="AJ12" s="15" t="s">
        <v>61</v>
      </c>
    </row>
    <row r="13" ht="15.75" customHeight="1">
      <c r="A13" s="15" t="s">
        <v>1826</v>
      </c>
      <c r="B13" s="23" t="s">
        <v>1882</v>
      </c>
      <c r="C13" s="15" t="s">
        <v>1883</v>
      </c>
      <c r="D13" s="15" t="s">
        <v>1884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5"/>
        <v>0.3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6"/>
        <v>0.3</v>
      </c>
      <c r="AE13" s="15" t="s">
        <v>34</v>
      </c>
      <c r="AF13" s="15" t="s">
        <v>35</v>
      </c>
      <c r="AG13" s="15" t="s">
        <v>35</v>
      </c>
      <c r="AH13" s="15">
        <f t="shared" si="1"/>
        <v>10</v>
      </c>
      <c r="AI13" s="15"/>
      <c r="AJ13" s="15" t="s">
        <v>61</v>
      </c>
    </row>
    <row r="14" ht="15.75" customHeight="1">
      <c r="A14" s="15" t="s">
        <v>1826</v>
      </c>
      <c r="B14" s="23" t="s">
        <v>1885</v>
      </c>
      <c r="C14" s="15" t="s">
        <v>1886</v>
      </c>
      <c r="D14" s="15" t="s">
        <v>1887</v>
      </c>
      <c r="E14" s="15" t="s">
        <v>1888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si="5"/>
        <v>49.46666667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15">
        <f t="shared" si="6"/>
        <v>49.46666667</v>
      </c>
      <c r="AE14" s="15" t="s">
        <v>35</v>
      </c>
      <c r="AF14" s="15" t="s">
        <v>34</v>
      </c>
      <c r="AG14" s="15" t="s">
        <v>35</v>
      </c>
      <c r="AH14" s="15">
        <f t="shared" si="1"/>
        <v>5</v>
      </c>
      <c r="AI14" s="15"/>
      <c r="AJ14" s="15" t="s">
        <v>61</v>
      </c>
    </row>
    <row r="15" ht="15.75" customHeight="1">
      <c r="A15" s="15" t="s">
        <v>1826</v>
      </c>
      <c r="B15" s="23" t="s">
        <v>1889</v>
      </c>
      <c r="C15" s="15" t="s">
        <v>1890</v>
      </c>
      <c r="D15" s="15" t="s">
        <v>1891</v>
      </c>
      <c r="E15" s="15" t="s">
        <v>1892</v>
      </c>
      <c r="F15" s="15" t="s">
        <v>1893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5"/>
        <v>1.433333333</v>
      </c>
      <c r="V15" s="15">
        <f>TEXT(F15-E15,"[mm]")/60</f>
        <v>0.1666666667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6"/>
        <v>0.8</v>
      </c>
      <c r="AE15" s="15" t="s">
        <v>34</v>
      </c>
      <c r="AF15" s="15" t="s">
        <v>35</v>
      </c>
      <c r="AG15" s="15" t="s">
        <v>35</v>
      </c>
      <c r="AH15" s="15">
        <f t="shared" si="1"/>
        <v>10</v>
      </c>
      <c r="AI15" s="15"/>
      <c r="AJ15" s="15" t="s">
        <v>61</v>
      </c>
    </row>
    <row r="16" ht="15.75" customHeight="1">
      <c r="A16" s="15" t="s">
        <v>1826</v>
      </c>
      <c r="B16" s="23" t="s">
        <v>1894</v>
      </c>
      <c r="C16" s="15" t="s">
        <v>1895</v>
      </c>
      <c r="D16" s="15" t="s">
        <v>33</v>
      </c>
      <c r="E16" s="15" t="s">
        <v>1896</v>
      </c>
      <c r="F16" s="15" t="s">
        <v>33</v>
      </c>
      <c r="G16" s="15" t="s">
        <v>1897</v>
      </c>
      <c r="H16" s="15" t="s">
        <v>33</v>
      </c>
      <c r="I16" s="15" t="s">
        <v>1898</v>
      </c>
      <c r="J16" s="15" t="s">
        <v>33</v>
      </c>
      <c r="K16" s="15" t="s">
        <v>1899</v>
      </c>
      <c r="L16" s="15" t="s">
        <v>33</v>
      </c>
      <c r="M16" s="15" t="s">
        <v>1900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20" t="s">
        <v>33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20" t="s">
        <v>33</v>
      </c>
      <c r="AE16" s="15" t="s">
        <v>35</v>
      </c>
      <c r="AF16" s="15" t="s">
        <v>35</v>
      </c>
      <c r="AG16" s="15" t="s">
        <v>35</v>
      </c>
      <c r="AH16" s="15">
        <f t="shared" si="1"/>
        <v>-15</v>
      </c>
      <c r="AI16" s="15"/>
      <c r="AJ16" s="15" t="s">
        <v>61</v>
      </c>
    </row>
    <row r="17" ht="15.75" customHeight="1">
      <c r="A17" s="15" t="s">
        <v>1826</v>
      </c>
      <c r="B17" s="23" t="s">
        <v>1901</v>
      </c>
      <c r="C17" s="15" t="s">
        <v>1902</v>
      </c>
      <c r="D17" s="15" t="s">
        <v>1903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ref="U17:U20" si="7">TEXT(D17-C17,"[mm]")/60</f>
        <v>14.25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ref="AD17:AD20" si="8">AVERAGE(U17:AC17)</f>
        <v>14.25</v>
      </c>
      <c r="AE17" s="15" t="s">
        <v>34</v>
      </c>
      <c r="AF17" s="15" t="s">
        <v>35</v>
      </c>
      <c r="AG17" s="15" t="s">
        <v>35</v>
      </c>
      <c r="AH17" s="15">
        <f t="shared" si="1"/>
        <v>10</v>
      </c>
      <c r="AI17" s="15"/>
      <c r="AJ17" s="15" t="s">
        <v>61</v>
      </c>
    </row>
    <row r="18" ht="15.75" customHeight="1">
      <c r="A18" s="15" t="s">
        <v>1826</v>
      </c>
      <c r="B18" s="23" t="s">
        <v>1904</v>
      </c>
      <c r="C18" s="15" t="s">
        <v>1905</v>
      </c>
      <c r="D18" s="15" t="s">
        <v>1906</v>
      </c>
      <c r="E18" s="15" t="s">
        <v>1907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7"/>
        <v>0.2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8"/>
        <v>0.2</v>
      </c>
      <c r="AE18" s="15" t="s">
        <v>34</v>
      </c>
      <c r="AF18" s="15" t="s">
        <v>35</v>
      </c>
      <c r="AG18" s="15" t="s">
        <v>35</v>
      </c>
      <c r="AH18" s="15">
        <f t="shared" si="1"/>
        <v>10</v>
      </c>
      <c r="AI18" s="15"/>
      <c r="AJ18" s="15" t="s">
        <v>61</v>
      </c>
    </row>
    <row r="19" ht="15.75" customHeight="1">
      <c r="A19" s="15" t="s">
        <v>1826</v>
      </c>
      <c r="B19" s="23" t="s">
        <v>1908</v>
      </c>
      <c r="C19" s="15" t="s">
        <v>1909</v>
      </c>
      <c r="D19" s="15" t="s">
        <v>1907</v>
      </c>
      <c r="E19" s="19">
        <v>46134.683333333334</v>
      </c>
      <c r="F19" s="19">
        <v>46136.70138888889</v>
      </c>
      <c r="G19" s="15" t="s">
        <v>33</v>
      </c>
      <c r="H19" s="15" t="s">
        <v>1910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7"/>
        <v>0.15</v>
      </c>
      <c r="V19" s="15">
        <f>TEXT(F19-E19,"[mm]")/60</f>
        <v>48.43333333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si="8"/>
        <v>24.29166667</v>
      </c>
      <c r="AE19" s="15" t="s">
        <v>34</v>
      </c>
      <c r="AF19" s="15" t="s">
        <v>35</v>
      </c>
      <c r="AG19" s="15" t="s">
        <v>35</v>
      </c>
      <c r="AH19" s="15">
        <f t="shared" si="1"/>
        <v>10</v>
      </c>
      <c r="AI19" s="15"/>
      <c r="AJ19" s="15" t="s">
        <v>61</v>
      </c>
    </row>
    <row r="20" ht="15.75" customHeight="1">
      <c r="A20" s="15" t="s">
        <v>1826</v>
      </c>
      <c r="B20" s="23" t="s">
        <v>1911</v>
      </c>
      <c r="C20" s="15" t="s">
        <v>1912</v>
      </c>
      <c r="D20" s="15" t="s">
        <v>1913</v>
      </c>
      <c r="E20" s="15" t="s">
        <v>33</v>
      </c>
      <c r="F20" s="15" t="s">
        <v>1914</v>
      </c>
      <c r="G20" s="15" t="s">
        <v>33</v>
      </c>
      <c r="H20" s="15" t="s">
        <v>1915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7"/>
        <v>0.05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8"/>
        <v>0.05</v>
      </c>
      <c r="AE20" s="15" t="s">
        <v>34</v>
      </c>
      <c r="AF20" s="15" t="s">
        <v>35</v>
      </c>
      <c r="AG20" s="15" t="s">
        <v>35</v>
      </c>
      <c r="AH20" s="15">
        <f t="shared" si="1"/>
        <v>10</v>
      </c>
      <c r="AI20" s="15"/>
      <c r="AJ20" s="15" t="s">
        <v>61</v>
      </c>
    </row>
    <row r="21" ht="15.75" customHeight="1">
      <c r="A21" s="15" t="s">
        <v>1826</v>
      </c>
      <c r="B21" s="23" t="s">
        <v>1916</v>
      </c>
      <c r="C21" s="15" t="s">
        <v>1917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20" t="s">
        <v>33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20" t="s">
        <v>33</v>
      </c>
      <c r="AE21" s="15" t="s">
        <v>35</v>
      </c>
      <c r="AF21" s="15" t="s">
        <v>35</v>
      </c>
      <c r="AG21" s="15" t="s">
        <v>35</v>
      </c>
      <c r="AH21" s="15">
        <f t="shared" si="1"/>
        <v>-15</v>
      </c>
      <c r="AI21" s="15"/>
      <c r="AJ21" s="15" t="s">
        <v>61</v>
      </c>
    </row>
    <row r="22" ht="15.75" customHeight="1">
      <c r="A22" s="15" t="s">
        <v>1826</v>
      </c>
      <c r="B22" s="23" t="s">
        <v>1918</v>
      </c>
      <c r="C22" s="15" t="s">
        <v>1919</v>
      </c>
      <c r="D22" s="15" t="s">
        <v>1920</v>
      </c>
      <c r="E22" s="15" t="s">
        <v>33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>TEXT(D22-C22,"[mm]")/60</f>
        <v>0.1833333333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>AVERAGE(U22:AC22)</f>
        <v>0.1833333333</v>
      </c>
      <c r="AE22" s="15" t="s">
        <v>34</v>
      </c>
      <c r="AF22" s="15" t="s">
        <v>35</v>
      </c>
      <c r="AG22" s="15" t="s">
        <v>35</v>
      </c>
      <c r="AH22" s="15">
        <f t="shared" si="1"/>
        <v>10</v>
      </c>
      <c r="AI22" s="15"/>
      <c r="AJ22" s="15" t="s">
        <v>61</v>
      </c>
    </row>
    <row r="23" ht="15.75" customHeight="1">
      <c r="A23" s="15" t="s">
        <v>1826</v>
      </c>
      <c r="B23" s="23" t="s">
        <v>1921</v>
      </c>
      <c r="C23" s="15" t="s">
        <v>1922</v>
      </c>
      <c r="D23" s="15" t="s">
        <v>33</v>
      </c>
      <c r="E23" s="15" t="s">
        <v>33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20" t="s">
        <v>33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20" t="s">
        <v>33</v>
      </c>
      <c r="AE23" s="15" t="s">
        <v>35</v>
      </c>
      <c r="AF23" s="15" t="s">
        <v>35</v>
      </c>
      <c r="AG23" s="15" t="s">
        <v>35</v>
      </c>
      <c r="AH23" s="15">
        <f t="shared" si="1"/>
        <v>-15</v>
      </c>
      <c r="AI23" s="15"/>
      <c r="AJ23" s="15" t="s">
        <v>61</v>
      </c>
    </row>
    <row r="24" ht="15.75" customHeight="1">
      <c r="A24" s="15" t="s">
        <v>1826</v>
      </c>
      <c r="B24" s="23" t="s">
        <v>1923</v>
      </c>
      <c r="C24" s="15" t="s">
        <v>1924</v>
      </c>
      <c r="D24" s="15" t="s">
        <v>1925</v>
      </c>
      <c r="E24" s="15" t="s">
        <v>33</v>
      </c>
      <c r="F24" s="15" t="s">
        <v>33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15">
        <f t="shared" ref="U24:U27" si="9">TEXT(D24-C24,"[mm]")/60</f>
        <v>0.1666666667</v>
      </c>
      <c r="V24" s="20" t="s">
        <v>33</v>
      </c>
      <c r="W24" s="20" t="s">
        <v>33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ref="AD24:AD27" si="10">AVERAGE(U24:AC24)</f>
        <v>0.1666666667</v>
      </c>
      <c r="AE24" s="15" t="s">
        <v>34</v>
      </c>
      <c r="AF24" s="15" t="s">
        <v>35</v>
      </c>
      <c r="AG24" s="15" t="s">
        <v>35</v>
      </c>
      <c r="AH24" s="15">
        <f t="shared" si="1"/>
        <v>10</v>
      </c>
      <c r="AI24" s="15"/>
      <c r="AJ24" s="15" t="s">
        <v>61</v>
      </c>
    </row>
    <row r="25" ht="15.75" customHeight="1">
      <c r="A25" s="15" t="s">
        <v>1826</v>
      </c>
      <c r="B25" s="23" t="s">
        <v>1926</v>
      </c>
      <c r="C25" s="15" t="s">
        <v>1927</v>
      </c>
      <c r="D25" s="15" t="s">
        <v>1928</v>
      </c>
      <c r="E25" s="15" t="s">
        <v>33</v>
      </c>
      <c r="F25" s="15" t="s">
        <v>1929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si="9"/>
        <v>0.3333333333</v>
      </c>
      <c r="V25" s="20" t="s">
        <v>33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si="10"/>
        <v>0.3333333333</v>
      </c>
      <c r="AE25" s="15" t="s">
        <v>34</v>
      </c>
      <c r="AF25" s="15" t="s">
        <v>35</v>
      </c>
      <c r="AG25" s="15" t="s">
        <v>35</v>
      </c>
      <c r="AH25" s="15">
        <f t="shared" si="1"/>
        <v>10</v>
      </c>
      <c r="AI25" s="15"/>
      <c r="AJ25" s="15" t="s">
        <v>61</v>
      </c>
    </row>
    <row r="26" ht="15.75" customHeight="1">
      <c r="A26" s="15" t="s">
        <v>1826</v>
      </c>
      <c r="B26" s="23" t="s">
        <v>1930</v>
      </c>
      <c r="C26" s="15" t="s">
        <v>1931</v>
      </c>
      <c r="D26" s="15" t="s">
        <v>1932</v>
      </c>
      <c r="E26" s="15" t="s">
        <v>33</v>
      </c>
      <c r="F26" s="15" t="s">
        <v>33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9"/>
        <v>0.6166666667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15">
        <f t="shared" si="10"/>
        <v>0.6166666667</v>
      </c>
      <c r="AE26" s="15" t="s">
        <v>34</v>
      </c>
      <c r="AF26" s="15" t="s">
        <v>35</v>
      </c>
      <c r="AG26" s="15" t="s">
        <v>35</v>
      </c>
      <c r="AH26" s="15">
        <f t="shared" si="1"/>
        <v>10</v>
      </c>
      <c r="AI26" s="15"/>
      <c r="AJ26" s="15" t="s">
        <v>61</v>
      </c>
    </row>
    <row r="27" ht="15.75" customHeight="1">
      <c r="A27" s="15" t="s">
        <v>1826</v>
      </c>
      <c r="B27" s="23" t="s">
        <v>1933</v>
      </c>
      <c r="C27" s="15" t="s">
        <v>1934</v>
      </c>
      <c r="D27" s="15" t="s">
        <v>1935</v>
      </c>
      <c r="E27" s="19">
        <v>46127.080555555556</v>
      </c>
      <c r="F27" s="19">
        <v>46128.45972222222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9"/>
        <v>0.6833333333</v>
      </c>
      <c r="V27" s="15">
        <f>TEXT(F27-E27,"[mm]")/60</f>
        <v>33.1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 t="shared" si="10"/>
        <v>16.89166667</v>
      </c>
      <c r="AE27" s="15" t="s">
        <v>34</v>
      </c>
      <c r="AF27" s="15" t="s">
        <v>35</v>
      </c>
      <c r="AG27" s="15" t="s">
        <v>35</v>
      </c>
      <c r="AH27" s="15">
        <f t="shared" si="1"/>
        <v>10</v>
      </c>
      <c r="AI27" s="15"/>
      <c r="AJ27" s="15" t="s">
        <v>61</v>
      </c>
    </row>
    <row r="28" ht="15.75" customHeight="1">
      <c r="A28" s="15" t="s">
        <v>1826</v>
      </c>
      <c r="B28" s="23" t="s">
        <v>1936</v>
      </c>
      <c r="C28" s="15" t="s">
        <v>1937</v>
      </c>
      <c r="D28" s="15" t="s">
        <v>33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20" t="s">
        <v>33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20" t="s">
        <v>33</v>
      </c>
      <c r="AE28" s="15" t="s">
        <v>35</v>
      </c>
      <c r="AF28" s="15" t="s">
        <v>35</v>
      </c>
      <c r="AG28" s="15" t="s">
        <v>35</v>
      </c>
      <c r="AH28" s="15">
        <f t="shared" si="1"/>
        <v>-15</v>
      </c>
      <c r="AI28" s="15"/>
      <c r="AJ28" s="15" t="s">
        <v>61</v>
      </c>
    </row>
    <row r="29" ht="15.75" customHeight="1">
      <c r="A29" s="15" t="s">
        <v>1826</v>
      </c>
      <c r="B29" s="23" t="s">
        <v>1938</v>
      </c>
      <c r="C29" s="15" t="s">
        <v>1939</v>
      </c>
      <c r="D29" s="15" t="s">
        <v>33</v>
      </c>
      <c r="E29" s="15" t="s">
        <v>33</v>
      </c>
      <c r="F29" s="15" t="s">
        <v>33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20" t="s">
        <v>33</v>
      </c>
      <c r="V29" s="20" t="s">
        <v>33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20" t="s">
        <v>33</v>
      </c>
      <c r="AE29" s="15" t="s">
        <v>35</v>
      </c>
      <c r="AF29" s="15" t="s">
        <v>35</v>
      </c>
      <c r="AG29" s="15" t="s">
        <v>35</v>
      </c>
      <c r="AH29" s="15">
        <f t="shared" si="1"/>
        <v>-15</v>
      </c>
      <c r="AI29" s="15"/>
      <c r="AJ29" s="15" t="s">
        <v>61</v>
      </c>
    </row>
    <row r="30" ht="15.75" customHeight="1">
      <c r="A30" s="15" t="s">
        <v>1826</v>
      </c>
      <c r="B30" s="23" t="s">
        <v>1940</v>
      </c>
      <c r="C30" s="15" t="s">
        <v>1941</v>
      </c>
      <c r="D30" s="15" t="s">
        <v>1942</v>
      </c>
      <c r="E30" s="15" t="s">
        <v>33</v>
      </c>
      <c r="F30" s="15" t="s">
        <v>33</v>
      </c>
      <c r="G30" s="15" t="s">
        <v>33</v>
      </c>
      <c r="H30" s="15" t="s">
        <v>33</v>
      </c>
      <c r="I30" s="15" t="s">
        <v>33</v>
      </c>
      <c r="J30" s="15" t="s">
        <v>33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>TEXT(D30-C30,"[mm]")/60</f>
        <v>0.05</v>
      </c>
      <c r="V30" s="20" t="s">
        <v>33</v>
      </c>
      <c r="W30" s="20" t="s">
        <v>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>AVERAGE(U30:AC30)</f>
        <v>0.05</v>
      </c>
      <c r="AE30" s="15" t="s">
        <v>34</v>
      </c>
      <c r="AF30" s="15" t="s">
        <v>35</v>
      </c>
      <c r="AG30" s="15" t="s">
        <v>35</v>
      </c>
      <c r="AH30" s="15">
        <f t="shared" si="1"/>
        <v>10</v>
      </c>
      <c r="AI30" s="15"/>
      <c r="AJ30" s="15" t="s">
        <v>61</v>
      </c>
    </row>
    <row r="31" ht="15.75" customHeight="1">
      <c r="A31" s="15" t="s">
        <v>1826</v>
      </c>
      <c r="B31" s="23" t="s">
        <v>1943</v>
      </c>
      <c r="C31" s="15" t="s">
        <v>1944</v>
      </c>
      <c r="D31" s="15" t="s">
        <v>33</v>
      </c>
      <c r="E31" s="15" t="s">
        <v>33</v>
      </c>
      <c r="F31" s="15" t="s">
        <v>33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20" t="s">
        <v>33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20" t="s">
        <v>33</v>
      </c>
      <c r="AE31" s="15" t="s">
        <v>35</v>
      </c>
      <c r="AF31" s="15" t="s">
        <v>35</v>
      </c>
      <c r="AG31" s="15" t="s">
        <v>35</v>
      </c>
      <c r="AH31" s="15">
        <f t="shared" si="1"/>
        <v>-15</v>
      </c>
      <c r="AI31" s="15"/>
      <c r="AJ31" s="15" t="s">
        <v>61</v>
      </c>
    </row>
    <row r="32" ht="15.75" customHeight="1">
      <c r="A32" s="15" t="s">
        <v>1826</v>
      </c>
      <c r="B32" s="23" t="s">
        <v>1945</v>
      </c>
      <c r="C32" s="15" t="s">
        <v>1946</v>
      </c>
      <c r="D32" s="15" t="s">
        <v>33</v>
      </c>
      <c r="E32" s="15" t="s">
        <v>33</v>
      </c>
      <c r="F32" s="15" t="s">
        <v>33</v>
      </c>
      <c r="G32" s="15" t="s">
        <v>33</v>
      </c>
      <c r="H32" s="15" t="s">
        <v>33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20" t="s">
        <v>33</v>
      </c>
      <c r="V32" s="20" t="s">
        <v>33</v>
      </c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20" t="s">
        <v>33</v>
      </c>
      <c r="AE32" s="15" t="s">
        <v>35</v>
      </c>
      <c r="AF32" s="15" t="s">
        <v>35</v>
      </c>
      <c r="AG32" s="15" t="s">
        <v>35</v>
      </c>
      <c r="AH32" s="15">
        <f t="shared" si="1"/>
        <v>-15</v>
      </c>
      <c r="AI32" s="15"/>
      <c r="AJ32" s="15" t="s">
        <v>61</v>
      </c>
    </row>
    <row r="33" ht="15.75" customHeight="1">
      <c r="A33" s="15" t="s">
        <v>1826</v>
      </c>
      <c r="B33" s="23" t="s">
        <v>1947</v>
      </c>
      <c r="C33" s="15" t="s">
        <v>1948</v>
      </c>
      <c r="D33" s="15" t="s">
        <v>1949</v>
      </c>
      <c r="E33" s="15" t="s">
        <v>1950</v>
      </c>
      <c r="F33" s="15" t="s">
        <v>1951</v>
      </c>
      <c r="G33" s="15" t="s">
        <v>1952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ref="U33:U34" si="11">TEXT(D33-C33,"[mm]")/60</f>
        <v>0.15</v>
      </c>
      <c r="V33" s="15">
        <f>TEXT(F33-E33,"[mm]")/60</f>
        <v>0.05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ref="AD33:AD34" si="12">AVERAGE(U33:AC33)</f>
        <v>0.1</v>
      </c>
      <c r="AE33" s="15" t="s">
        <v>34</v>
      </c>
      <c r="AF33" s="15" t="s">
        <v>35</v>
      </c>
      <c r="AG33" s="15" t="s">
        <v>35</v>
      </c>
      <c r="AH33" s="15">
        <f t="shared" si="1"/>
        <v>10</v>
      </c>
      <c r="AI33" s="15"/>
      <c r="AJ33" s="15" t="s">
        <v>61</v>
      </c>
    </row>
    <row r="34" ht="15.75" customHeight="1">
      <c r="A34" s="15" t="s">
        <v>1826</v>
      </c>
      <c r="B34" s="23" t="s">
        <v>1953</v>
      </c>
      <c r="C34" s="15" t="s">
        <v>1954</v>
      </c>
      <c r="D34" s="15" t="s">
        <v>1955</v>
      </c>
      <c r="E34" s="15" t="s">
        <v>33</v>
      </c>
      <c r="F34" s="15" t="s">
        <v>33</v>
      </c>
      <c r="G34" s="15" t="s">
        <v>33</v>
      </c>
      <c r="H34" s="15" t="s">
        <v>33</v>
      </c>
      <c r="I34" s="15" t="s">
        <v>33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15">
        <f t="shared" si="11"/>
        <v>5.116666667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15">
        <f t="shared" si="12"/>
        <v>5.116666667</v>
      </c>
      <c r="AE34" s="15" t="s">
        <v>34</v>
      </c>
      <c r="AF34" s="15" t="s">
        <v>35</v>
      </c>
      <c r="AG34" s="15" t="s">
        <v>35</v>
      </c>
      <c r="AH34" s="15">
        <f t="shared" si="1"/>
        <v>10</v>
      </c>
      <c r="AI34" s="15"/>
      <c r="AJ34" s="15" t="s">
        <v>61</v>
      </c>
    </row>
    <row r="35" ht="15.75" customHeight="1">
      <c r="A35" s="15" t="s">
        <v>1826</v>
      </c>
      <c r="B35" s="23" t="s">
        <v>1956</v>
      </c>
      <c r="C35" s="15" t="s">
        <v>1957</v>
      </c>
      <c r="D35" s="15" t="s">
        <v>33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20" t="s">
        <v>33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20" t="s">
        <v>33</v>
      </c>
      <c r="AE35" s="15" t="s">
        <v>35</v>
      </c>
      <c r="AF35" s="15" t="s">
        <v>35</v>
      </c>
      <c r="AG35" s="15" t="s">
        <v>35</v>
      </c>
      <c r="AH35" s="15">
        <f t="shared" si="1"/>
        <v>-15</v>
      </c>
      <c r="AI35" s="15"/>
      <c r="AJ35" s="15" t="s">
        <v>61</v>
      </c>
    </row>
    <row r="36" ht="15.75" customHeight="1">
      <c r="A36" s="15" t="s">
        <v>1826</v>
      </c>
      <c r="B36" s="23" t="s">
        <v>1958</v>
      </c>
      <c r="C36" s="15" t="s">
        <v>1959</v>
      </c>
      <c r="D36" s="15" t="s">
        <v>33</v>
      </c>
      <c r="E36" s="15" t="s">
        <v>33</v>
      </c>
      <c r="F36" s="15" t="s">
        <v>33</v>
      </c>
      <c r="G36" s="15" t="s">
        <v>33</v>
      </c>
      <c r="H36" s="15" t="s">
        <v>33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20" t="s">
        <v>33</v>
      </c>
      <c r="V36" s="20" t="s">
        <v>33</v>
      </c>
      <c r="W36" s="20" t="s">
        <v>33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20" t="s">
        <v>33</v>
      </c>
      <c r="AE36" s="15" t="s">
        <v>35</v>
      </c>
      <c r="AF36" s="15" t="s">
        <v>35</v>
      </c>
      <c r="AG36" s="15" t="s">
        <v>35</v>
      </c>
      <c r="AH36" s="15">
        <f t="shared" si="1"/>
        <v>-15</v>
      </c>
      <c r="AI36" s="15"/>
      <c r="AJ36" s="15" t="s">
        <v>61</v>
      </c>
    </row>
    <row r="37" ht="15.75" customHeight="1">
      <c r="A37" s="15" t="s">
        <v>1826</v>
      </c>
      <c r="B37" s="23" t="s">
        <v>1960</v>
      </c>
      <c r="C37" s="15" t="s">
        <v>1961</v>
      </c>
      <c r="D37" s="15" t="s">
        <v>33</v>
      </c>
      <c r="E37" s="15" t="s">
        <v>33</v>
      </c>
      <c r="F37" s="15" t="s">
        <v>33</v>
      </c>
      <c r="G37" s="15" t="s">
        <v>33</v>
      </c>
      <c r="H37" s="15" t="s">
        <v>33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20" t="s">
        <v>33</v>
      </c>
      <c r="V37" s="20" t="s">
        <v>33</v>
      </c>
      <c r="W37" s="20" t="s">
        <v>33</v>
      </c>
      <c r="X37" s="20" t="s">
        <v>33</v>
      </c>
      <c r="Y37" s="20" t="s">
        <v>33</v>
      </c>
      <c r="Z37" s="20" t="s">
        <v>33</v>
      </c>
      <c r="AA37" s="20" t="s">
        <v>33</v>
      </c>
      <c r="AB37" s="20" t="s">
        <v>33</v>
      </c>
      <c r="AC37" s="20" t="s">
        <v>33</v>
      </c>
      <c r="AD37" s="20" t="s">
        <v>33</v>
      </c>
      <c r="AE37" s="15" t="s">
        <v>35</v>
      </c>
      <c r="AF37" s="15" t="s">
        <v>35</v>
      </c>
      <c r="AG37" s="15" t="s">
        <v>35</v>
      </c>
      <c r="AH37" s="15">
        <f t="shared" si="1"/>
        <v>-15</v>
      </c>
      <c r="AI37" s="15"/>
      <c r="AJ37" s="15" t="s">
        <v>61</v>
      </c>
    </row>
    <row r="38" ht="15.75" customHeight="1">
      <c r="A38" s="15" t="s">
        <v>1826</v>
      </c>
      <c r="B38" s="23" t="s">
        <v>1962</v>
      </c>
      <c r="C38" s="15" t="s">
        <v>1963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20" t="s">
        <v>33</v>
      </c>
      <c r="AE38" s="15" t="s">
        <v>35</v>
      </c>
      <c r="AF38" s="15" t="s">
        <v>35</v>
      </c>
      <c r="AG38" s="15" t="s">
        <v>35</v>
      </c>
      <c r="AH38" s="15">
        <f t="shared" si="1"/>
        <v>-15</v>
      </c>
      <c r="AI38" s="15"/>
      <c r="AJ38" s="15" t="s">
        <v>61</v>
      </c>
    </row>
    <row r="39" ht="15.75" customHeight="1">
      <c r="A39" s="15" t="s">
        <v>1826</v>
      </c>
      <c r="B39" s="23" t="s">
        <v>1964</v>
      </c>
      <c r="C39" s="15" t="s">
        <v>1965</v>
      </c>
      <c r="D39" s="15" t="s">
        <v>33</v>
      </c>
      <c r="E39" s="15" t="s">
        <v>33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20" t="s">
        <v>33</v>
      </c>
      <c r="V39" s="20" t="s">
        <v>33</v>
      </c>
      <c r="W39" s="20" t="s">
        <v>33</v>
      </c>
      <c r="X39" s="20" t="s">
        <v>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20" t="s">
        <v>33</v>
      </c>
      <c r="AE39" s="15" t="s">
        <v>35</v>
      </c>
      <c r="AF39" s="15" t="s">
        <v>35</v>
      </c>
      <c r="AG39" s="15" t="s">
        <v>35</v>
      </c>
      <c r="AH39" s="15">
        <f t="shared" si="1"/>
        <v>-15</v>
      </c>
      <c r="AI39" s="15"/>
      <c r="AJ39" s="15" t="s">
        <v>61</v>
      </c>
    </row>
    <row r="40" ht="15.75" customHeight="1">
      <c r="A40" s="15" t="s">
        <v>1826</v>
      </c>
      <c r="B40" s="23" t="s">
        <v>1966</v>
      </c>
      <c r="C40" s="15" t="s">
        <v>1967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20" t="s">
        <v>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20" t="s">
        <v>33</v>
      </c>
      <c r="AE40" s="15" t="s">
        <v>35</v>
      </c>
      <c r="AF40" s="15" t="s">
        <v>35</v>
      </c>
      <c r="AG40" s="15" t="s">
        <v>35</v>
      </c>
      <c r="AH40" s="15">
        <f t="shared" si="1"/>
        <v>-15</v>
      </c>
      <c r="AI40" s="15"/>
      <c r="AJ40" s="15" t="s">
        <v>61</v>
      </c>
    </row>
    <row r="41" ht="15.75" customHeight="1">
      <c r="A41" s="15" t="s">
        <v>1826</v>
      </c>
      <c r="B41" s="23" t="s">
        <v>1968</v>
      </c>
      <c r="C41" s="15" t="s">
        <v>1969</v>
      </c>
      <c r="D41" s="15" t="s">
        <v>33</v>
      </c>
      <c r="E41" s="15" t="s">
        <v>33</v>
      </c>
      <c r="F41" s="15" t="s">
        <v>33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20" t="s">
        <v>33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20" t="s">
        <v>33</v>
      </c>
      <c r="AE41" s="15" t="s">
        <v>35</v>
      </c>
      <c r="AF41" s="15" t="s">
        <v>35</v>
      </c>
      <c r="AG41" s="15" t="s">
        <v>35</v>
      </c>
      <c r="AH41" s="15">
        <f t="shared" si="1"/>
        <v>-15</v>
      </c>
      <c r="AI41" s="15"/>
      <c r="AJ41" s="15" t="s">
        <v>61</v>
      </c>
    </row>
    <row r="42" ht="15.75" customHeight="1">
      <c r="A42" s="15" t="s">
        <v>1826</v>
      </c>
      <c r="B42" s="23" t="s">
        <v>1970</v>
      </c>
      <c r="C42" s="15" t="s">
        <v>1971</v>
      </c>
      <c r="D42" s="15" t="s">
        <v>1972</v>
      </c>
      <c r="E42" s="15" t="s">
        <v>33</v>
      </c>
      <c r="F42" s="15" t="s">
        <v>33</v>
      </c>
      <c r="G42" s="15" t="s">
        <v>33</v>
      </c>
      <c r="H42" s="15" t="s">
        <v>33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ref="U42:U44" si="13">TEXT(D42-C42,"[mm]")/60</f>
        <v>1.633333333</v>
      </c>
      <c r="V42" s="20" t="s">
        <v>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 t="shared" ref="AD42:AD44" si="14">AVERAGE(U42:AC42)</f>
        <v>1.633333333</v>
      </c>
      <c r="AE42" s="15" t="s">
        <v>34</v>
      </c>
      <c r="AF42" s="15" t="s">
        <v>35</v>
      </c>
      <c r="AG42" s="15" t="s">
        <v>35</v>
      </c>
      <c r="AH42" s="15">
        <f t="shared" si="1"/>
        <v>10</v>
      </c>
      <c r="AI42" s="15"/>
      <c r="AJ42" s="15" t="s">
        <v>61</v>
      </c>
    </row>
    <row r="43" ht="15.75" customHeight="1">
      <c r="A43" s="15" t="s">
        <v>1826</v>
      </c>
      <c r="B43" s="23" t="s">
        <v>1973</v>
      </c>
      <c r="C43" s="15" t="s">
        <v>1974</v>
      </c>
      <c r="D43" s="15" t="s">
        <v>1975</v>
      </c>
      <c r="E43" s="15" t="s">
        <v>33</v>
      </c>
      <c r="F43" s="15" t="s">
        <v>33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13"/>
        <v>0.6333333333</v>
      </c>
      <c r="V43" s="20" t="s">
        <v>33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15">
        <f t="shared" si="14"/>
        <v>0.6333333333</v>
      </c>
      <c r="AE43" s="15" t="s">
        <v>34</v>
      </c>
      <c r="AF43" s="15" t="s">
        <v>35</v>
      </c>
      <c r="AG43" s="15" t="s">
        <v>35</v>
      </c>
      <c r="AH43" s="15">
        <f t="shared" si="1"/>
        <v>10</v>
      </c>
      <c r="AI43" s="15"/>
      <c r="AJ43" s="15" t="s">
        <v>61</v>
      </c>
    </row>
    <row r="44" ht="15.75" customHeight="1">
      <c r="A44" s="15" t="s">
        <v>1826</v>
      </c>
      <c r="B44" s="23" t="s">
        <v>1976</v>
      </c>
      <c r="C44" s="15" t="s">
        <v>1977</v>
      </c>
      <c r="D44" s="15" t="s">
        <v>1978</v>
      </c>
      <c r="E44" s="15" t="s">
        <v>33</v>
      </c>
      <c r="F44" s="15" t="s">
        <v>33</v>
      </c>
      <c r="G44" s="15" t="s">
        <v>33</v>
      </c>
      <c r="H44" s="15" t="s">
        <v>33</v>
      </c>
      <c r="I44" s="15" t="s">
        <v>33</v>
      </c>
      <c r="J44" s="15" t="s">
        <v>33</v>
      </c>
      <c r="K44" s="15" t="s">
        <v>33</v>
      </c>
      <c r="L44" s="15" t="s">
        <v>33</v>
      </c>
      <c r="M44" s="15" t="s">
        <v>33</v>
      </c>
      <c r="N44" s="15" t="s">
        <v>33</v>
      </c>
      <c r="O44" s="15" t="s">
        <v>33</v>
      </c>
      <c r="P44" s="15" t="s">
        <v>33</v>
      </c>
      <c r="Q44" s="15" t="s">
        <v>33</v>
      </c>
      <c r="R44" s="15" t="s">
        <v>33</v>
      </c>
      <c r="S44" s="15" t="s">
        <v>33</v>
      </c>
      <c r="T44" s="15" t="s">
        <v>33</v>
      </c>
      <c r="U44" s="15">
        <f t="shared" si="13"/>
        <v>0.05</v>
      </c>
      <c r="V44" s="20" t="s">
        <v>33</v>
      </c>
      <c r="W44" s="20" t="s">
        <v>33</v>
      </c>
      <c r="X44" s="20" t="s">
        <v>33</v>
      </c>
      <c r="Y44" s="20" t="s">
        <v>33</v>
      </c>
      <c r="Z44" s="20" t="s">
        <v>33</v>
      </c>
      <c r="AA44" s="20" t="s">
        <v>33</v>
      </c>
      <c r="AB44" s="20" t="s">
        <v>33</v>
      </c>
      <c r="AC44" s="20" t="s">
        <v>33</v>
      </c>
      <c r="AD44" s="15">
        <f t="shared" si="14"/>
        <v>0.05</v>
      </c>
      <c r="AE44" s="15" t="s">
        <v>34</v>
      </c>
      <c r="AF44" s="15" t="s">
        <v>35</v>
      </c>
      <c r="AG44" s="15" t="s">
        <v>35</v>
      </c>
      <c r="AH44" s="15">
        <f t="shared" si="1"/>
        <v>10</v>
      </c>
      <c r="AI44" s="15"/>
      <c r="AJ44" s="15" t="s">
        <v>61</v>
      </c>
    </row>
    <row r="45" ht="15.75" customHeight="1">
      <c r="A45" s="15" t="s">
        <v>1826</v>
      </c>
      <c r="B45" s="23" t="s">
        <v>1979</v>
      </c>
      <c r="C45" s="15" t="s">
        <v>1980</v>
      </c>
      <c r="D45" s="15" t="s">
        <v>33</v>
      </c>
      <c r="E45" s="15" t="s">
        <v>33</v>
      </c>
      <c r="F45" s="15" t="s">
        <v>33</v>
      </c>
      <c r="G45" s="15" t="s">
        <v>33</v>
      </c>
      <c r="H45" s="15" t="s">
        <v>33</v>
      </c>
      <c r="I45" s="15" t="s">
        <v>33</v>
      </c>
      <c r="J45" s="15" t="s">
        <v>33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20" t="s">
        <v>33</v>
      </c>
      <c r="V45" s="20" t="s">
        <v>33</v>
      </c>
      <c r="W45" s="20" t="s">
        <v>33</v>
      </c>
      <c r="X45" s="20" t="s">
        <v>33</v>
      </c>
      <c r="Y45" s="20" t="s">
        <v>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20" t="s">
        <v>33</v>
      </c>
      <c r="AE45" s="15" t="s">
        <v>35</v>
      </c>
      <c r="AF45" s="15" t="s">
        <v>35</v>
      </c>
      <c r="AG45" s="15" t="s">
        <v>35</v>
      </c>
      <c r="AH45" s="15">
        <f t="shared" si="1"/>
        <v>-15</v>
      </c>
      <c r="AI45" s="15"/>
      <c r="AJ45" s="15" t="s">
        <v>61</v>
      </c>
    </row>
    <row r="46" ht="15.75" customHeight="1">
      <c r="A46" s="15" t="s">
        <v>1826</v>
      </c>
      <c r="B46" s="23" t="s">
        <v>1981</v>
      </c>
      <c r="C46" s="15" t="s">
        <v>1982</v>
      </c>
      <c r="D46" s="15" t="s">
        <v>1983</v>
      </c>
      <c r="E46" s="15" t="s">
        <v>33</v>
      </c>
      <c r="F46" s="15" t="s">
        <v>1984</v>
      </c>
      <c r="G46" s="15" t="s">
        <v>33</v>
      </c>
      <c r="H46" s="15" t="s">
        <v>33</v>
      </c>
      <c r="I46" s="15" t="s">
        <v>33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ref="U46:U51" si="15">TEXT(D46-C46,"[mm]")/60</f>
        <v>0.15</v>
      </c>
      <c r="V46" s="20" t="s">
        <v>33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15">
        <f t="shared" ref="AD46:AD51" si="16">AVERAGE(U46:AC46)</f>
        <v>0.15</v>
      </c>
      <c r="AE46" s="15" t="s">
        <v>34</v>
      </c>
      <c r="AF46" s="15" t="s">
        <v>35</v>
      </c>
      <c r="AG46" s="15" t="s">
        <v>35</v>
      </c>
      <c r="AH46" s="15">
        <f t="shared" si="1"/>
        <v>10</v>
      </c>
      <c r="AI46" s="15"/>
      <c r="AJ46" s="15" t="s">
        <v>61</v>
      </c>
    </row>
    <row r="47" ht="15.75" customHeight="1">
      <c r="A47" s="15" t="s">
        <v>1826</v>
      </c>
      <c r="B47" s="23" t="s">
        <v>1985</v>
      </c>
      <c r="C47" s="15" t="s">
        <v>1986</v>
      </c>
      <c r="D47" s="15" t="s">
        <v>1987</v>
      </c>
      <c r="E47" s="15" t="s">
        <v>1988</v>
      </c>
      <c r="F47" s="15" t="s">
        <v>33</v>
      </c>
      <c r="G47" s="15" t="s">
        <v>33</v>
      </c>
      <c r="H47" s="15" t="s">
        <v>33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si="15"/>
        <v>26.08333333</v>
      </c>
      <c r="V47" s="20" t="s">
        <v>33</v>
      </c>
      <c r="W47" s="20" t="s">
        <v>33</v>
      </c>
      <c r="X47" s="20" t="s">
        <v>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15">
        <f t="shared" si="16"/>
        <v>26.08333333</v>
      </c>
      <c r="AE47" s="15" t="s">
        <v>35</v>
      </c>
      <c r="AF47" s="15" t="s">
        <v>34</v>
      </c>
      <c r="AG47" s="15" t="s">
        <v>35</v>
      </c>
      <c r="AH47" s="15">
        <f t="shared" si="1"/>
        <v>5</v>
      </c>
      <c r="AI47" s="15"/>
      <c r="AJ47" s="15" t="s">
        <v>61</v>
      </c>
    </row>
    <row r="48" ht="15.75" customHeight="1">
      <c r="A48" s="15" t="s">
        <v>1826</v>
      </c>
      <c r="B48" s="23" t="s">
        <v>1989</v>
      </c>
      <c r="C48" s="15" t="s">
        <v>1990</v>
      </c>
      <c r="D48" s="15" t="s">
        <v>1991</v>
      </c>
      <c r="E48" s="15" t="s">
        <v>33</v>
      </c>
      <c r="F48" s="15" t="s">
        <v>1992</v>
      </c>
      <c r="G48" s="15" t="s">
        <v>33</v>
      </c>
      <c r="H48" s="15" t="s">
        <v>1993</v>
      </c>
      <c r="I48" s="15" t="s">
        <v>33</v>
      </c>
      <c r="J48" s="15" t="s">
        <v>33</v>
      </c>
      <c r="K48" s="15" t="s">
        <v>33</v>
      </c>
      <c r="L48" s="15" t="s">
        <v>33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15"/>
        <v>0.03333333333</v>
      </c>
      <c r="V48" s="20" t="s">
        <v>33</v>
      </c>
      <c r="W48" s="20" t="s">
        <v>33</v>
      </c>
      <c r="X48" s="20" t="s">
        <v>33</v>
      </c>
      <c r="Y48" s="20" t="s">
        <v>33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15">
        <f t="shared" si="16"/>
        <v>0.03333333333</v>
      </c>
      <c r="AE48" s="15" t="s">
        <v>34</v>
      </c>
      <c r="AF48" s="15" t="s">
        <v>35</v>
      </c>
      <c r="AG48" s="15" t="s">
        <v>35</v>
      </c>
      <c r="AH48" s="15">
        <f t="shared" si="1"/>
        <v>10</v>
      </c>
      <c r="AI48" s="15"/>
      <c r="AJ48" s="15" t="s">
        <v>61</v>
      </c>
    </row>
    <row r="49" ht="15.75" customHeight="1">
      <c r="A49" s="15" t="s">
        <v>1826</v>
      </c>
      <c r="B49" s="23" t="s">
        <v>1994</v>
      </c>
      <c r="C49" s="15" t="s">
        <v>1995</v>
      </c>
      <c r="D49" s="15" t="s">
        <v>1996</v>
      </c>
      <c r="E49" s="15" t="s">
        <v>33</v>
      </c>
      <c r="F49" s="15" t="s">
        <v>33</v>
      </c>
      <c r="G49" s="15" t="s">
        <v>33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15"/>
        <v>0.3</v>
      </c>
      <c r="V49" s="20" t="s">
        <v>33</v>
      </c>
      <c r="W49" s="20" t="s">
        <v>33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si="16"/>
        <v>0.3</v>
      </c>
      <c r="AE49" s="15" t="s">
        <v>34</v>
      </c>
      <c r="AF49" s="15" t="s">
        <v>35</v>
      </c>
      <c r="AG49" s="15" t="s">
        <v>35</v>
      </c>
      <c r="AH49" s="15">
        <f t="shared" si="1"/>
        <v>10</v>
      </c>
      <c r="AI49" s="15"/>
      <c r="AJ49" s="15" t="s">
        <v>61</v>
      </c>
    </row>
    <row r="50" ht="15.75" customHeight="1">
      <c r="A50" s="15" t="s">
        <v>1826</v>
      </c>
      <c r="B50" s="23" t="s">
        <v>1997</v>
      </c>
      <c r="C50" s="15" t="s">
        <v>1998</v>
      </c>
      <c r="D50" s="15" t="s">
        <v>1999</v>
      </c>
      <c r="E50" s="15" t="s">
        <v>2000</v>
      </c>
      <c r="F50" s="15" t="s">
        <v>2001</v>
      </c>
      <c r="G50" s="15" t="s">
        <v>2002</v>
      </c>
      <c r="H50" s="15" t="s">
        <v>2003</v>
      </c>
      <c r="I50" s="15" t="s">
        <v>2004</v>
      </c>
      <c r="J50" s="15" t="s">
        <v>2005</v>
      </c>
      <c r="K50" s="15" t="s">
        <v>33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15"/>
        <v>0.03333333333</v>
      </c>
      <c r="V50" s="15">
        <f>TEXT(F50-E50,"[mm]")/60</f>
        <v>0.15</v>
      </c>
      <c r="W50" s="15">
        <f>TEXT(H50-G50,"[mm]")/60</f>
        <v>24.11666667</v>
      </c>
      <c r="X50" s="15">
        <f>TEXT(J50-I50,"[mm]")/60</f>
        <v>72.06666667</v>
      </c>
      <c r="Y50" s="20" t="s">
        <v>33</v>
      </c>
      <c r="Z50" s="20" t="s">
        <v>33</v>
      </c>
      <c r="AA50" s="20" t="s">
        <v>33</v>
      </c>
      <c r="AB50" s="20" t="s">
        <v>33</v>
      </c>
      <c r="AC50" s="20" t="s">
        <v>33</v>
      </c>
      <c r="AD50" s="15">
        <f t="shared" si="16"/>
        <v>24.09166667</v>
      </c>
      <c r="AE50" s="15" t="s">
        <v>34</v>
      </c>
      <c r="AF50" s="15" t="s">
        <v>35</v>
      </c>
      <c r="AG50" s="15" t="s">
        <v>35</v>
      </c>
      <c r="AH50" s="15">
        <f t="shared" si="1"/>
        <v>10</v>
      </c>
      <c r="AI50" s="15"/>
      <c r="AJ50" s="15" t="s">
        <v>61</v>
      </c>
    </row>
    <row r="51" ht="15.75" customHeight="1">
      <c r="A51" s="15" t="s">
        <v>1826</v>
      </c>
      <c r="B51" s="23" t="s">
        <v>2006</v>
      </c>
      <c r="C51" s="15" t="s">
        <v>2007</v>
      </c>
      <c r="D51" s="15" t="s">
        <v>2008</v>
      </c>
      <c r="E51" s="15" t="s">
        <v>33</v>
      </c>
      <c r="F51" s="15" t="s">
        <v>2009</v>
      </c>
      <c r="G51" s="15" t="s">
        <v>33</v>
      </c>
      <c r="H51" s="15" t="s">
        <v>2010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15">
        <f t="shared" si="15"/>
        <v>0.1</v>
      </c>
      <c r="V51" s="20" t="s">
        <v>33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15">
        <f t="shared" si="16"/>
        <v>0.1</v>
      </c>
      <c r="AE51" s="15" t="s">
        <v>34</v>
      </c>
      <c r="AF51" s="15" t="s">
        <v>35</v>
      </c>
      <c r="AG51" s="15" t="s">
        <v>35</v>
      </c>
      <c r="AH51" s="15">
        <f t="shared" si="1"/>
        <v>10</v>
      </c>
      <c r="AI51" s="15"/>
      <c r="AJ51" s="15" t="s">
        <v>61</v>
      </c>
    </row>
    <row r="52" ht="15.75" customHeight="1">
      <c r="A52" s="15" t="s">
        <v>1826</v>
      </c>
      <c r="B52" s="23" t="s">
        <v>2011</v>
      </c>
      <c r="C52" s="15" t="s">
        <v>2012</v>
      </c>
      <c r="D52" s="15" t="s">
        <v>33</v>
      </c>
      <c r="E52" s="15" t="s">
        <v>33</v>
      </c>
      <c r="F52" s="15" t="s">
        <v>33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20" t="s">
        <v>33</v>
      </c>
      <c r="V52" s="20" t="s">
        <v>33</v>
      </c>
      <c r="W52" s="20" t="s">
        <v>33</v>
      </c>
      <c r="X52" s="20" t="s">
        <v>33</v>
      </c>
      <c r="Y52" s="20" t="s">
        <v>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20" t="s">
        <v>33</v>
      </c>
      <c r="AE52" s="15" t="s">
        <v>35</v>
      </c>
      <c r="AF52" s="15" t="s">
        <v>35</v>
      </c>
      <c r="AG52" s="15" t="s">
        <v>35</v>
      </c>
      <c r="AH52" s="15">
        <f t="shared" si="1"/>
        <v>-15</v>
      </c>
      <c r="AI52" s="15"/>
      <c r="AJ52" s="15" t="s">
        <v>61</v>
      </c>
    </row>
    <row r="53" ht="15.75" customHeight="1">
      <c r="A53" s="15" t="s">
        <v>1826</v>
      </c>
      <c r="B53" s="23" t="s">
        <v>2013</v>
      </c>
      <c r="C53" s="15" t="s">
        <v>2014</v>
      </c>
      <c r="D53" s="15" t="s">
        <v>2015</v>
      </c>
      <c r="E53" s="15" t="s">
        <v>33</v>
      </c>
      <c r="F53" s="15" t="s">
        <v>33</v>
      </c>
      <c r="G53" s="15" t="s">
        <v>33</v>
      </c>
      <c r="H53" s="15" t="s">
        <v>33</v>
      </c>
      <c r="I53" s="15" t="s">
        <v>33</v>
      </c>
      <c r="J53" s="15" t="s">
        <v>33</v>
      </c>
      <c r="K53" s="15" t="s">
        <v>33</v>
      </c>
      <c r="L53" s="15" t="s">
        <v>33</v>
      </c>
      <c r="M53" s="15" t="s">
        <v>33</v>
      </c>
      <c r="N53" s="15" t="s">
        <v>33</v>
      </c>
      <c r="O53" s="15" t="s">
        <v>33</v>
      </c>
      <c r="P53" s="15" t="s">
        <v>33</v>
      </c>
      <c r="Q53" s="15" t="s">
        <v>33</v>
      </c>
      <c r="R53" s="15" t="s">
        <v>33</v>
      </c>
      <c r="S53" s="15" t="s">
        <v>33</v>
      </c>
      <c r="T53" s="15" t="s">
        <v>33</v>
      </c>
      <c r="U53" s="15">
        <f t="shared" ref="U53:U57" si="17">TEXT(D53-C53,"[mm]")/60</f>
        <v>16.21666667</v>
      </c>
      <c r="V53" s="20" t="s">
        <v>33</v>
      </c>
      <c r="W53" s="20" t="s">
        <v>33</v>
      </c>
      <c r="X53" s="20" t="s">
        <v>33</v>
      </c>
      <c r="Y53" s="20" t="s">
        <v>33</v>
      </c>
      <c r="Z53" s="20" t="s">
        <v>33</v>
      </c>
      <c r="AA53" s="20" t="s">
        <v>33</v>
      </c>
      <c r="AB53" s="20" t="s">
        <v>33</v>
      </c>
      <c r="AC53" s="20" t="s">
        <v>33</v>
      </c>
      <c r="AD53" s="15">
        <f t="shared" ref="AD53:AD57" si="18">AVERAGE(U53:AC53)</f>
        <v>16.21666667</v>
      </c>
      <c r="AE53" s="15" t="s">
        <v>34</v>
      </c>
      <c r="AF53" s="15" t="s">
        <v>35</v>
      </c>
      <c r="AG53" s="15" t="s">
        <v>35</v>
      </c>
      <c r="AH53" s="15">
        <f t="shared" si="1"/>
        <v>10</v>
      </c>
      <c r="AI53" s="15"/>
      <c r="AJ53" s="15" t="s">
        <v>61</v>
      </c>
    </row>
    <row r="54" ht="15.75" customHeight="1">
      <c r="A54" s="15" t="s">
        <v>1826</v>
      </c>
      <c r="B54" s="23" t="s">
        <v>2016</v>
      </c>
      <c r="C54" s="15" t="s">
        <v>1527</v>
      </c>
      <c r="D54" s="15" t="s">
        <v>2017</v>
      </c>
      <c r="E54" s="15" t="s">
        <v>2018</v>
      </c>
      <c r="F54" s="15" t="s">
        <v>2019</v>
      </c>
      <c r="G54" s="15" t="s">
        <v>2020</v>
      </c>
      <c r="H54" s="15" t="s">
        <v>2021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15">
        <f t="shared" si="17"/>
        <v>0.08333333333</v>
      </c>
      <c r="V54" s="15">
        <f t="shared" ref="V54:V55" si="19">TEXT(F54-E54,"[mm]")/60</f>
        <v>13.55</v>
      </c>
      <c r="W54" s="15">
        <f>TEXT(H54-G54,"[mm]")/60</f>
        <v>144.5333333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15">
        <f t="shared" si="18"/>
        <v>52.72222222</v>
      </c>
      <c r="AE54" s="15" t="s">
        <v>34</v>
      </c>
      <c r="AF54" s="15" t="s">
        <v>35</v>
      </c>
      <c r="AG54" s="15" t="s">
        <v>35</v>
      </c>
      <c r="AH54" s="15">
        <f t="shared" si="1"/>
        <v>10</v>
      </c>
      <c r="AI54" s="15"/>
      <c r="AJ54" s="15" t="s">
        <v>61</v>
      </c>
    </row>
    <row r="55" ht="15.75" customHeight="1">
      <c r="A55" s="15" t="s">
        <v>1826</v>
      </c>
      <c r="B55" s="23" t="s">
        <v>2022</v>
      </c>
      <c r="C55" s="15" t="s">
        <v>2023</v>
      </c>
      <c r="D55" s="15" t="s">
        <v>2024</v>
      </c>
      <c r="E55" s="15" t="s">
        <v>2025</v>
      </c>
      <c r="F55" s="15" t="s">
        <v>2026</v>
      </c>
      <c r="G55" s="15" t="s">
        <v>2027</v>
      </c>
      <c r="H55" s="15" t="s">
        <v>33</v>
      </c>
      <c r="I55" s="15" t="s">
        <v>2028</v>
      </c>
      <c r="J55" s="15" t="s">
        <v>33</v>
      </c>
      <c r="K55" s="15" t="s">
        <v>2029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15">
        <f t="shared" si="17"/>
        <v>0.01666666667</v>
      </c>
      <c r="V55" s="15">
        <f t="shared" si="19"/>
        <v>23.33333333</v>
      </c>
      <c r="W55" s="20" t="s">
        <v>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15">
        <f t="shared" si="18"/>
        <v>11.675</v>
      </c>
      <c r="AE55" s="15" t="s">
        <v>34</v>
      </c>
      <c r="AF55" s="15" t="s">
        <v>35</v>
      </c>
      <c r="AG55" s="15" t="s">
        <v>35</v>
      </c>
      <c r="AH55" s="15">
        <f t="shared" si="1"/>
        <v>10</v>
      </c>
      <c r="AI55" s="15"/>
      <c r="AJ55" s="15" t="s">
        <v>61</v>
      </c>
    </row>
    <row r="56" ht="15.75" customHeight="1">
      <c r="A56" s="15" t="s">
        <v>1826</v>
      </c>
      <c r="B56" s="23" t="s">
        <v>2030</v>
      </c>
      <c r="C56" s="15" t="s">
        <v>2031</v>
      </c>
      <c r="D56" s="15" t="s">
        <v>2032</v>
      </c>
      <c r="E56" s="15" t="s">
        <v>33</v>
      </c>
      <c r="F56" s="15" t="s">
        <v>33</v>
      </c>
      <c r="G56" s="15" t="s">
        <v>33</v>
      </c>
      <c r="H56" s="15" t="s">
        <v>33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15">
        <f t="shared" si="17"/>
        <v>0.2</v>
      </c>
      <c r="V56" s="20" t="s">
        <v>33</v>
      </c>
      <c r="W56" s="20" t="s">
        <v>33</v>
      </c>
      <c r="X56" s="20" t="s">
        <v>33</v>
      </c>
      <c r="Y56" s="20" t="s">
        <v>33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15">
        <f t="shared" si="18"/>
        <v>0.2</v>
      </c>
      <c r="AE56" s="15" t="s">
        <v>34</v>
      </c>
      <c r="AF56" s="15" t="s">
        <v>35</v>
      </c>
      <c r="AG56" s="15" t="s">
        <v>35</v>
      </c>
      <c r="AH56" s="15">
        <f t="shared" si="1"/>
        <v>10</v>
      </c>
      <c r="AI56" s="15"/>
      <c r="AJ56" s="15" t="s">
        <v>61</v>
      </c>
    </row>
    <row r="57" ht="15.75" customHeight="1">
      <c r="A57" s="15" t="s">
        <v>1826</v>
      </c>
      <c r="B57" s="23" t="s">
        <v>2033</v>
      </c>
      <c r="C57" s="15" t="s">
        <v>2034</v>
      </c>
      <c r="D57" s="15" t="s">
        <v>2035</v>
      </c>
      <c r="E57" s="15" t="s">
        <v>33</v>
      </c>
      <c r="F57" s="15" t="s">
        <v>2036</v>
      </c>
      <c r="G57" s="15" t="s">
        <v>33</v>
      </c>
      <c r="H57" s="15" t="s">
        <v>2009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si="17"/>
        <v>16.25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15">
        <f t="shared" si="18"/>
        <v>16.25</v>
      </c>
      <c r="AE57" s="15" t="s">
        <v>34</v>
      </c>
      <c r="AF57" s="15" t="s">
        <v>35</v>
      </c>
      <c r="AG57" s="15" t="s">
        <v>35</v>
      </c>
      <c r="AH57" s="15">
        <f t="shared" si="1"/>
        <v>10</v>
      </c>
      <c r="AI57" s="15"/>
      <c r="AJ57" s="15" t="s">
        <v>61</v>
      </c>
    </row>
    <row r="58" ht="15.75" customHeight="1">
      <c r="A58" s="15" t="s">
        <v>1826</v>
      </c>
      <c r="B58" s="23" t="s">
        <v>2037</v>
      </c>
      <c r="C58" s="15" t="s">
        <v>2038</v>
      </c>
      <c r="D58" s="15" t="s">
        <v>33</v>
      </c>
      <c r="E58" s="15" t="s">
        <v>33</v>
      </c>
      <c r="F58" s="15" t="s">
        <v>33</v>
      </c>
      <c r="G58" s="15" t="s">
        <v>33</v>
      </c>
      <c r="H58" s="15" t="s">
        <v>33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20" t="s">
        <v>33</v>
      </c>
      <c r="V58" s="20" t="s">
        <v>33</v>
      </c>
      <c r="W58" s="20" t="s">
        <v>33</v>
      </c>
      <c r="X58" s="20" t="s">
        <v>33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20" t="s">
        <v>33</v>
      </c>
      <c r="AE58" s="15" t="s">
        <v>35</v>
      </c>
      <c r="AF58" s="15" t="s">
        <v>35</v>
      </c>
      <c r="AG58" s="15" t="s">
        <v>35</v>
      </c>
      <c r="AH58" s="15">
        <f t="shared" si="1"/>
        <v>-15</v>
      </c>
      <c r="AI58" s="15"/>
      <c r="AJ58" s="15" t="s">
        <v>61</v>
      </c>
    </row>
    <row r="59" ht="15.75" customHeight="1">
      <c r="A59" s="15" t="s">
        <v>1826</v>
      </c>
      <c r="B59" s="23" t="s">
        <v>2039</v>
      </c>
      <c r="C59" s="15" t="s">
        <v>2040</v>
      </c>
      <c r="D59" s="15" t="s">
        <v>2041</v>
      </c>
      <c r="E59" s="15" t="s">
        <v>33</v>
      </c>
      <c r="F59" s="15" t="s">
        <v>33</v>
      </c>
      <c r="G59" s="15" t="s">
        <v>33</v>
      </c>
      <c r="H59" s="15" t="s">
        <v>33</v>
      </c>
      <c r="I59" s="15" t="s">
        <v>33</v>
      </c>
      <c r="J59" s="15" t="s">
        <v>33</v>
      </c>
      <c r="K59" s="15" t="s">
        <v>33</v>
      </c>
      <c r="L59" s="15" t="s">
        <v>33</v>
      </c>
      <c r="M59" s="15" t="s">
        <v>33</v>
      </c>
      <c r="N59" s="15" t="s">
        <v>33</v>
      </c>
      <c r="O59" s="15" t="s">
        <v>33</v>
      </c>
      <c r="P59" s="15" t="s">
        <v>33</v>
      </c>
      <c r="Q59" s="15" t="s">
        <v>33</v>
      </c>
      <c r="R59" s="15" t="s">
        <v>33</v>
      </c>
      <c r="S59" s="15" t="s">
        <v>33</v>
      </c>
      <c r="T59" s="15" t="s">
        <v>33</v>
      </c>
      <c r="U59" s="15">
        <f t="shared" ref="U59:U63" si="20">TEXT(D59-C59,"[mm]")/60</f>
        <v>0.08333333333</v>
      </c>
      <c r="V59" s="20" t="s">
        <v>33</v>
      </c>
      <c r="W59" s="20" t="s">
        <v>33</v>
      </c>
      <c r="X59" s="20" t="s">
        <v>33</v>
      </c>
      <c r="Y59" s="20" t="s">
        <v>33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ref="AD59:AD63" si="21">AVERAGE(U59:AC59)</f>
        <v>0.08333333333</v>
      </c>
      <c r="AE59" s="15" t="s">
        <v>34</v>
      </c>
      <c r="AF59" s="15" t="s">
        <v>35</v>
      </c>
      <c r="AG59" s="15" t="s">
        <v>35</v>
      </c>
      <c r="AH59" s="15">
        <f t="shared" si="1"/>
        <v>10</v>
      </c>
      <c r="AI59" s="15"/>
      <c r="AJ59" s="15" t="s">
        <v>61</v>
      </c>
    </row>
    <row r="60" ht="15.75" customHeight="1">
      <c r="A60" s="15" t="s">
        <v>1826</v>
      </c>
      <c r="B60" s="23" t="s">
        <v>2042</v>
      </c>
      <c r="C60" s="15" t="s">
        <v>2043</v>
      </c>
      <c r="D60" s="15" t="s">
        <v>2044</v>
      </c>
      <c r="E60" s="15" t="s">
        <v>2045</v>
      </c>
      <c r="F60" s="15" t="s">
        <v>2046</v>
      </c>
      <c r="G60" s="15" t="s">
        <v>2047</v>
      </c>
      <c r="H60" s="15" t="s">
        <v>33</v>
      </c>
      <c r="I60" s="15" t="s">
        <v>2048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15">
        <f t="shared" si="20"/>
        <v>0.3333333333</v>
      </c>
      <c r="V60" s="15">
        <f t="shared" ref="V60:V61" si="22">TEXT(F60-E60,"[mm]")/60</f>
        <v>153.4</v>
      </c>
      <c r="W60" s="20" t="s">
        <v>33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15">
        <f t="shared" si="21"/>
        <v>76.86666667</v>
      </c>
      <c r="AE60" s="15" t="s">
        <v>34</v>
      </c>
      <c r="AF60" s="15" t="s">
        <v>35</v>
      </c>
      <c r="AG60" s="15" t="s">
        <v>35</v>
      </c>
      <c r="AH60" s="15">
        <f t="shared" si="1"/>
        <v>10</v>
      </c>
      <c r="AI60" s="15"/>
      <c r="AJ60" s="15" t="s">
        <v>61</v>
      </c>
    </row>
    <row r="61" ht="15.75" customHeight="1">
      <c r="A61" s="15" t="s">
        <v>1826</v>
      </c>
      <c r="B61" s="23" t="s">
        <v>2049</v>
      </c>
      <c r="C61" s="15" t="s">
        <v>2050</v>
      </c>
      <c r="D61" s="15" t="s">
        <v>2051</v>
      </c>
      <c r="E61" s="15" t="s">
        <v>2051</v>
      </c>
      <c r="F61" s="15" t="s">
        <v>2052</v>
      </c>
      <c r="G61" s="15" t="s">
        <v>2053</v>
      </c>
      <c r="H61" s="15" t="s">
        <v>33</v>
      </c>
      <c r="I61" s="15" t="s">
        <v>2054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 t="shared" si="20"/>
        <v>0.1166666667</v>
      </c>
      <c r="V61" s="15">
        <f t="shared" si="22"/>
        <v>0.3666666667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15">
        <f t="shared" si="21"/>
        <v>0.2416666667</v>
      </c>
      <c r="AE61" s="15" t="s">
        <v>34</v>
      </c>
      <c r="AF61" s="15" t="s">
        <v>35</v>
      </c>
      <c r="AG61" s="15" t="s">
        <v>35</v>
      </c>
      <c r="AH61" s="15">
        <f t="shared" si="1"/>
        <v>10</v>
      </c>
      <c r="AI61" s="15"/>
      <c r="AJ61" s="15" t="s">
        <v>61</v>
      </c>
    </row>
    <row r="62" ht="15.75" customHeight="1">
      <c r="A62" s="15" t="s">
        <v>1826</v>
      </c>
      <c r="B62" s="23" t="s">
        <v>2055</v>
      </c>
      <c r="C62" s="15" t="s">
        <v>2056</v>
      </c>
      <c r="D62" s="15" t="s">
        <v>2057</v>
      </c>
      <c r="E62" s="15" t="s">
        <v>33</v>
      </c>
      <c r="F62" s="15" t="s">
        <v>2058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 t="shared" si="20"/>
        <v>0.1666666667</v>
      </c>
      <c r="V62" s="20" t="s">
        <v>33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15">
        <f t="shared" si="21"/>
        <v>0.1666666667</v>
      </c>
      <c r="AE62" s="15" t="s">
        <v>34</v>
      </c>
      <c r="AF62" s="15" t="s">
        <v>35</v>
      </c>
      <c r="AG62" s="15" t="s">
        <v>35</v>
      </c>
      <c r="AH62" s="15">
        <f t="shared" si="1"/>
        <v>10</v>
      </c>
      <c r="AI62" s="15"/>
      <c r="AJ62" s="15" t="s">
        <v>61</v>
      </c>
    </row>
    <row r="63" ht="15.75" customHeight="1">
      <c r="A63" s="15" t="s">
        <v>1826</v>
      </c>
      <c r="B63" s="23" t="s">
        <v>2059</v>
      </c>
      <c r="C63" s="15" t="s">
        <v>2060</v>
      </c>
      <c r="D63" s="15" t="s">
        <v>2061</v>
      </c>
      <c r="E63" s="15" t="s">
        <v>33</v>
      </c>
      <c r="F63" s="15" t="s">
        <v>33</v>
      </c>
      <c r="G63" s="15" t="s">
        <v>33</v>
      </c>
      <c r="H63" s="15" t="s">
        <v>33</v>
      </c>
      <c r="I63" s="15" t="s">
        <v>33</v>
      </c>
      <c r="J63" s="15" t="s">
        <v>33</v>
      </c>
      <c r="K63" s="15" t="s">
        <v>33</v>
      </c>
      <c r="L63" s="15" t="s">
        <v>33</v>
      </c>
      <c r="M63" s="15" t="s">
        <v>33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15">
        <f t="shared" si="20"/>
        <v>0.05</v>
      </c>
      <c r="V63" s="20" t="s">
        <v>33</v>
      </c>
      <c r="W63" s="20" t="s">
        <v>33</v>
      </c>
      <c r="X63" s="20" t="s">
        <v>33</v>
      </c>
      <c r="Y63" s="20" t="s">
        <v>33</v>
      </c>
      <c r="Z63" s="20" t="s">
        <v>33</v>
      </c>
      <c r="AA63" s="20" t="s">
        <v>33</v>
      </c>
      <c r="AB63" s="20" t="s">
        <v>33</v>
      </c>
      <c r="AC63" s="20" t="s">
        <v>33</v>
      </c>
      <c r="AD63" s="15">
        <f t="shared" si="21"/>
        <v>0.05</v>
      </c>
      <c r="AE63" s="15" t="s">
        <v>34</v>
      </c>
      <c r="AF63" s="15" t="s">
        <v>35</v>
      </c>
      <c r="AG63" s="15" t="s">
        <v>35</v>
      </c>
      <c r="AH63" s="15">
        <f t="shared" si="1"/>
        <v>10</v>
      </c>
      <c r="AI63" s="15"/>
      <c r="AJ63" s="15" t="s">
        <v>61</v>
      </c>
    </row>
    <row r="64" ht="15.75" customHeight="1">
      <c r="A64" s="15" t="s">
        <v>1826</v>
      </c>
      <c r="B64" s="23" t="s">
        <v>2062</v>
      </c>
      <c r="C64" s="15" t="s">
        <v>2063</v>
      </c>
      <c r="D64" s="15" t="s">
        <v>33</v>
      </c>
      <c r="E64" s="15" t="s">
        <v>33</v>
      </c>
      <c r="F64" s="15" t="s">
        <v>33</v>
      </c>
      <c r="G64" s="15" t="s">
        <v>33</v>
      </c>
      <c r="H64" s="15" t="s">
        <v>33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20" t="s">
        <v>33</v>
      </c>
      <c r="V64" s="20" t="s">
        <v>33</v>
      </c>
      <c r="W64" s="20" t="s">
        <v>33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20" t="s">
        <v>33</v>
      </c>
      <c r="AE64" s="15" t="s">
        <v>35</v>
      </c>
      <c r="AF64" s="15" t="s">
        <v>35</v>
      </c>
      <c r="AG64" s="15" t="s">
        <v>35</v>
      </c>
      <c r="AH64" s="15">
        <f t="shared" si="1"/>
        <v>-15</v>
      </c>
      <c r="AI64" s="15"/>
      <c r="AJ64" s="15" t="s">
        <v>61</v>
      </c>
    </row>
    <row r="65" ht="15.75" customHeight="1">
      <c r="A65" s="15" t="s">
        <v>1826</v>
      </c>
      <c r="B65" s="23" t="s">
        <v>2064</v>
      </c>
      <c r="C65" s="15" t="s">
        <v>2065</v>
      </c>
      <c r="D65" s="15" t="s">
        <v>2066</v>
      </c>
      <c r="E65" s="15" t="s">
        <v>2067</v>
      </c>
      <c r="F65" s="15" t="s">
        <v>2068</v>
      </c>
      <c r="G65" s="15" t="s">
        <v>2069</v>
      </c>
      <c r="H65" s="15" t="s">
        <v>2070</v>
      </c>
      <c r="I65" s="15" t="s">
        <v>2071</v>
      </c>
      <c r="J65" s="15" t="s">
        <v>2072</v>
      </c>
      <c r="K65" s="15" t="s">
        <v>2073</v>
      </c>
      <c r="L65" s="15" t="s">
        <v>33</v>
      </c>
      <c r="M65" s="15" t="s">
        <v>2074</v>
      </c>
      <c r="N65" s="15" t="s">
        <v>33</v>
      </c>
      <c r="O65" s="15" t="s">
        <v>2075</v>
      </c>
      <c r="P65" s="15" t="s">
        <v>33</v>
      </c>
      <c r="Q65" s="15" t="s">
        <v>2076</v>
      </c>
      <c r="R65" s="15" t="s">
        <v>33</v>
      </c>
      <c r="S65" s="15" t="s">
        <v>33</v>
      </c>
      <c r="T65" s="15" t="s">
        <v>33</v>
      </c>
      <c r="U65" s="15">
        <f t="shared" ref="U65:U71" si="23">TEXT(D65-C65,"[mm]")/60</f>
        <v>18.96666667</v>
      </c>
      <c r="V65" s="15">
        <f>TEXT(F65-E65,"[mm]")/60</f>
        <v>0.08333333333</v>
      </c>
      <c r="W65" s="15">
        <f>TEXT(H65-G65,"[mm]")/60</f>
        <v>160.85</v>
      </c>
      <c r="X65" s="15">
        <f>TEXT(J65-I65,"[mm]")/60</f>
        <v>153.2333333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ref="AD65:AD71" si="24">AVERAGE(U65:AC65)</f>
        <v>83.28333333</v>
      </c>
      <c r="AE65" s="15" t="s">
        <v>34</v>
      </c>
      <c r="AF65" s="15" t="s">
        <v>35</v>
      </c>
      <c r="AG65" s="15" t="s">
        <v>35</v>
      </c>
      <c r="AH65" s="15">
        <f t="shared" si="1"/>
        <v>10</v>
      </c>
      <c r="AI65" s="15"/>
      <c r="AJ65" s="15" t="s">
        <v>61</v>
      </c>
    </row>
    <row r="66" ht="15.75" customHeight="1">
      <c r="A66" s="15" t="s">
        <v>1826</v>
      </c>
      <c r="B66" s="23" t="s">
        <v>2077</v>
      </c>
      <c r="C66" s="15" t="s">
        <v>2078</v>
      </c>
      <c r="D66" s="15" t="s">
        <v>2079</v>
      </c>
      <c r="E66" s="15" t="s">
        <v>33</v>
      </c>
      <c r="F66" s="15" t="s">
        <v>2080</v>
      </c>
      <c r="G66" s="15" t="s">
        <v>33</v>
      </c>
      <c r="H66" s="15" t="s">
        <v>2081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>
        <f t="shared" si="23"/>
        <v>27.25</v>
      </c>
      <c r="V66" s="20" t="s">
        <v>33</v>
      </c>
      <c r="W66" s="20" t="s">
        <v>33</v>
      </c>
      <c r="X66" s="20" t="s">
        <v>33</v>
      </c>
      <c r="Y66" s="20" t="s">
        <v>33</v>
      </c>
      <c r="Z66" s="20" t="s">
        <v>33</v>
      </c>
      <c r="AA66" s="20" t="s">
        <v>33</v>
      </c>
      <c r="AB66" s="20" t="s">
        <v>33</v>
      </c>
      <c r="AC66" s="20" t="s">
        <v>33</v>
      </c>
      <c r="AD66" s="15">
        <f t="shared" si="24"/>
        <v>27.25</v>
      </c>
      <c r="AE66" s="15" t="s">
        <v>35</v>
      </c>
      <c r="AF66" s="15" t="s">
        <v>34</v>
      </c>
      <c r="AG66" s="15" t="s">
        <v>35</v>
      </c>
      <c r="AH66" s="15">
        <f t="shared" si="1"/>
        <v>5</v>
      </c>
      <c r="AI66" s="15"/>
      <c r="AJ66" s="15" t="s">
        <v>61</v>
      </c>
    </row>
    <row r="67" ht="15.75" customHeight="1">
      <c r="A67" s="15" t="s">
        <v>1826</v>
      </c>
      <c r="B67" s="23" t="s">
        <v>2082</v>
      </c>
      <c r="C67" s="15" t="s">
        <v>2083</v>
      </c>
      <c r="D67" s="15" t="s">
        <v>2084</v>
      </c>
      <c r="E67" s="15" t="s">
        <v>33</v>
      </c>
      <c r="F67" s="15" t="s">
        <v>33</v>
      </c>
      <c r="G67" s="15" t="s">
        <v>33</v>
      </c>
      <c r="H67" s="15" t="s">
        <v>33</v>
      </c>
      <c r="I67" s="15" t="s">
        <v>33</v>
      </c>
      <c r="J67" s="15" t="s">
        <v>33</v>
      </c>
      <c r="K67" s="15" t="s">
        <v>33</v>
      </c>
      <c r="L67" s="15" t="s">
        <v>33</v>
      </c>
      <c r="M67" s="15" t="s">
        <v>33</v>
      </c>
      <c r="N67" s="15" t="s">
        <v>33</v>
      </c>
      <c r="O67" s="15" t="s">
        <v>33</v>
      </c>
      <c r="P67" s="15" t="s">
        <v>33</v>
      </c>
      <c r="Q67" s="15" t="s">
        <v>33</v>
      </c>
      <c r="R67" s="15" t="s">
        <v>33</v>
      </c>
      <c r="S67" s="15" t="s">
        <v>33</v>
      </c>
      <c r="T67" s="15" t="s">
        <v>33</v>
      </c>
      <c r="U67" s="15">
        <f t="shared" si="23"/>
        <v>13.45</v>
      </c>
      <c r="V67" s="20" t="s">
        <v>33</v>
      </c>
      <c r="W67" s="20" t="s">
        <v>33</v>
      </c>
      <c r="X67" s="20" t="s">
        <v>33</v>
      </c>
      <c r="Y67" s="20" t="s">
        <v>33</v>
      </c>
      <c r="Z67" s="20" t="s">
        <v>33</v>
      </c>
      <c r="AA67" s="20" t="s">
        <v>33</v>
      </c>
      <c r="AB67" s="20" t="s">
        <v>33</v>
      </c>
      <c r="AC67" s="20" t="s">
        <v>33</v>
      </c>
      <c r="AD67" s="15">
        <f t="shared" si="24"/>
        <v>13.45</v>
      </c>
      <c r="AE67" s="15" t="s">
        <v>34</v>
      </c>
      <c r="AF67" s="15" t="s">
        <v>35</v>
      </c>
      <c r="AG67" s="15" t="s">
        <v>35</v>
      </c>
      <c r="AH67" s="15">
        <f t="shared" si="1"/>
        <v>10</v>
      </c>
      <c r="AI67" s="15"/>
      <c r="AJ67" s="15" t="s">
        <v>61</v>
      </c>
    </row>
    <row r="68" ht="15.75" customHeight="1">
      <c r="A68" s="15" t="s">
        <v>1826</v>
      </c>
      <c r="B68" s="23" t="s">
        <v>2085</v>
      </c>
      <c r="C68" s="15" t="s">
        <v>2086</v>
      </c>
      <c r="D68" s="15" t="s">
        <v>2087</v>
      </c>
      <c r="E68" s="15" t="s">
        <v>2088</v>
      </c>
      <c r="F68" s="15" t="s">
        <v>2089</v>
      </c>
      <c r="G68" s="15" t="s">
        <v>33</v>
      </c>
      <c r="H68" s="15" t="s">
        <v>2090</v>
      </c>
      <c r="I68" s="15" t="s">
        <v>33</v>
      </c>
      <c r="J68" s="15" t="s">
        <v>33</v>
      </c>
      <c r="K68" s="15" t="s">
        <v>33</v>
      </c>
      <c r="L68" s="15" t="s">
        <v>33</v>
      </c>
      <c r="M68" s="15" t="s">
        <v>33</v>
      </c>
      <c r="N68" s="15" t="s">
        <v>33</v>
      </c>
      <c r="O68" s="15" t="s">
        <v>33</v>
      </c>
      <c r="P68" s="15" t="s">
        <v>33</v>
      </c>
      <c r="Q68" s="15" t="s">
        <v>33</v>
      </c>
      <c r="R68" s="15" t="s">
        <v>33</v>
      </c>
      <c r="S68" s="15" t="s">
        <v>33</v>
      </c>
      <c r="T68" s="15" t="s">
        <v>33</v>
      </c>
      <c r="U68" s="15">
        <f t="shared" si="23"/>
        <v>0.05</v>
      </c>
      <c r="V68" s="15">
        <f>TEXT(F68-E68,"[mm]")/60</f>
        <v>23.85</v>
      </c>
      <c r="W68" s="20" t="s">
        <v>33</v>
      </c>
      <c r="X68" s="20" t="s">
        <v>33</v>
      </c>
      <c r="Y68" s="20" t="s">
        <v>33</v>
      </c>
      <c r="Z68" s="20" t="s">
        <v>33</v>
      </c>
      <c r="AA68" s="20" t="s">
        <v>33</v>
      </c>
      <c r="AB68" s="20" t="s">
        <v>33</v>
      </c>
      <c r="AC68" s="20" t="s">
        <v>33</v>
      </c>
      <c r="AD68" s="15">
        <f t="shared" si="24"/>
        <v>11.95</v>
      </c>
      <c r="AE68" s="15" t="s">
        <v>34</v>
      </c>
      <c r="AF68" s="15" t="s">
        <v>35</v>
      </c>
      <c r="AG68" s="15" t="s">
        <v>35</v>
      </c>
      <c r="AH68" s="15">
        <f t="shared" si="1"/>
        <v>10</v>
      </c>
      <c r="AI68" s="15"/>
      <c r="AJ68" s="15" t="s">
        <v>61</v>
      </c>
    </row>
    <row r="69" ht="15.75" customHeight="1">
      <c r="A69" s="15" t="s">
        <v>1826</v>
      </c>
      <c r="B69" s="23" t="s">
        <v>2091</v>
      </c>
      <c r="C69" s="15" t="s">
        <v>2092</v>
      </c>
      <c r="D69" s="15" t="s">
        <v>2093</v>
      </c>
      <c r="E69" s="15" t="s">
        <v>33</v>
      </c>
      <c r="F69" s="15" t="s">
        <v>33</v>
      </c>
      <c r="G69" s="15" t="s">
        <v>33</v>
      </c>
      <c r="H69" s="15" t="s">
        <v>33</v>
      </c>
      <c r="I69" s="15" t="s">
        <v>33</v>
      </c>
      <c r="J69" s="15" t="s">
        <v>33</v>
      </c>
      <c r="K69" s="15" t="s">
        <v>33</v>
      </c>
      <c r="L69" s="15" t="s">
        <v>33</v>
      </c>
      <c r="M69" s="15" t="s">
        <v>33</v>
      </c>
      <c r="N69" s="15" t="s">
        <v>33</v>
      </c>
      <c r="O69" s="15" t="s">
        <v>33</v>
      </c>
      <c r="P69" s="15" t="s">
        <v>33</v>
      </c>
      <c r="Q69" s="15" t="s">
        <v>33</v>
      </c>
      <c r="R69" s="15" t="s">
        <v>33</v>
      </c>
      <c r="S69" s="15" t="s">
        <v>33</v>
      </c>
      <c r="T69" s="15" t="s">
        <v>33</v>
      </c>
      <c r="U69" s="15">
        <f t="shared" si="23"/>
        <v>13.15</v>
      </c>
      <c r="V69" s="20" t="s">
        <v>33</v>
      </c>
      <c r="W69" s="20" t="s">
        <v>33</v>
      </c>
      <c r="X69" s="20" t="s">
        <v>33</v>
      </c>
      <c r="Y69" s="20" t="s">
        <v>33</v>
      </c>
      <c r="Z69" s="20" t="s">
        <v>33</v>
      </c>
      <c r="AA69" s="20" t="s">
        <v>33</v>
      </c>
      <c r="AB69" s="20" t="s">
        <v>33</v>
      </c>
      <c r="AC69" s="20" t="s">
        <v>33</v>
      </c>
      <c r="AD69" s="15">
        <f t="shared" si="24"/>
        <v>13.15</v>
      </c>
      <c r="AE69" s="15" t="s">
        <v>34</v>
      </c>
      <c r="AF69" s="15" t="s">
        <v>35</v>
      </c>
      <c r="AG69" s="15" t="s">
        <v>35</v>
      </c>
      <c r="AH69" s="15">
        <f t="shared" si="1"/>
        <v>10</v>
      </c>
      <c r="AI69" s="15"/>
      <c r="AJ69" s="15" t="s">
        <v>61</v>
      </c>
    </row>
    <row r="70" ht="15.75" customHeight="1">
      <c r="A70" s="15" t="s">
        <v>1826</v>
      </c>
      <c r="B70" s="23" t="s">
        <v>2094</v>
      </c>
      <c r="C70" s="15" t="s">
        <v>2095</v>
      </c>
      <c r="D70" s="15" t="s">
        <v>2096</v>
      </c>
      <c r="E70" s="15" t="s">
        <v>33</v>
      </c>
      <c r="F70" s="15" t="s">
        <v>33</v>
      </c>
      <c r="G70" s="15" t="s">
        <v>33</v>
      </c>
      <c r="H70" s="15" t="s">
        <v>33</v>
      </c>
      <c r="I70" s="15" t="s">
        <v>33</v>
      </c>
      <c r="J70" s="15" t="s">
        <v>33</v>
      </c>
      <c r="K70" s="15" t="s">
        <v>33</v>
      </c>
      <c r="L70" s="15" t="s">
        <v>33</v>
      </c>
      <c r="M70" s="15" t="s">
        <v>33</v>
      </c>
      <c r="N70" s="15" t="s">
        <v>33</v>
      </c>
      <c r="O70" s="15" t="s">
        <v>33</v>
      </c>
      <c r="P70" s="15" t="s">
        <v>33</v>
      </c>
      <c r="Q70" s="15" t="s">
        <v>33</v>
      </c>
      <c r="R70" s="15" t="s">
        <v>33</v>
      </c>
      <c r="S70" s="15" t="s">
        <v>33</v>
      </c>
      <c r="T70" s="15" t="s">
        <v>33</v>
      </c>
      <c r="U70" s="15">
        <f t="shared" si="23"/>
        <v>161.9333333</v>
      </c>
      <c r="V70" s="20" t="s">
        <v>33</v>
      </c>
      <c r="W70" s="20" t="s">
        <v>33</v>
      </c>
      <c r="X70" s="20" t="s">
        <v>33</v>
      </c>
      <c r="Y70" s="20" t="s">
        <v>33</v>
      </c>
      <c r="Z70" s="20" t="s">
        <v>33</v>
      </c>
      <c r="AA70" s="20" t="s">
        <v>33</v>
      </c>
      <c r="AB70" s="20" t="s">
        <v>33</v>
      </c>
      <c r="AC70" s="20" t="s">
        <v>33</v>
      </c>
      <c r="AD70" s="15">
        <f t="shared" si="24"/>
        <v>161.9333333</v>
      </c>
      <c r="AE70" s="15" t="s">
        <v>35</v>
      </c>
      <c r="AF70" s="15" t="s">
        <v>35</v>
      </c>
      <c r="AG70" s="15" t="s">
        <v>34</v>
      </c>
      <c r="AH70" s="15">
        <f t="shared" si="1"/>
        <v>-10</v>
      </c>
      <c r="AI70" s="15"/>
      <c r="AJ70" s="15" t="s">
        <v>61</v>
      </c>
    </row>
    <row r="71" ht="15.75" customHeight="1">
      <c r="A71" s="15" t="s">
        <v>1826</v>
      </c>
      <c r="B71" s="23" t="s">
        <v>2097</v>
      </c>
      <c r="C71" s="15" t="s">
        <v>2098</v>
      </c>
      <c r="D71" s="15" t="s">
        <v>2099</v>
      </c>
      <c r="E71" s="15" t="s">
        <v>33</v>
      </c>
      <c r="F71" s="15" t="s">
        <v>33</v>
      </c>
      <c r="G71" s="15" t="s">
        <v>33</v>
      </c>
      <c r="H71" s="15" t="s">
        <v>33</v>
      </c>
      <c r="I71" s="15" t="s">
        <v>33</v>
      </c>
      <c r="J71" s="15" t="s">
        <v>33</v>
      </c>
      <c r="K71" s="15" t="s">
        <v>33</v>
      </c>
      <c r="L71" s="15" t="s">
        <v>33</v>
      </c>
      <c r="M71" s="15" t="s">
        <v>33</v>
      </c>
      <c r="N71" s="15" t="s">
        <v>33</v>
      </c>
      <c r="O71" s="15" t="s">
        <v>33</v>
      </c>
      <c r="P71" s="15" t="s">
        <v>33</v>
      </c>
      <c r="Q71" s="15" t="s">
        <v>33</v>
      </c>
      <c r="R71" s="15" t="s">
        <v>33</v>
      </c>
      <c r="S71" s="15" t="s">
        <v>33</v>
      </c>
      <c r="T71" s="15" t="s">
        <v>33</v>
      </c>
      <c r="U71" s="15">
        <f t="shared" si="23"/>
        <v>11.9</v>
      </c>
      <c r="V71" s="20" t="s">
        <v>33</v>
      </c>
      <c r="W71" s="20" t="s">
        <v>33</v>
      </c>
      <c r="X71" s="20" t="s">
        <v>33</v>
      </c>
      <c r="Y71" s="20" t="s">
        <v>33</v>
      </c>
      <c r="Z71" s="20" t="s">
        <v>33</v>
      </c>
      <c r="AA71" s="20" t="s">
        <v>33</v>
      </c>
      <c r="AB71" s="20" t="s">
        <v>33</v>
      </c>
      <c r="AC71" s="20" t="s">
        <v>33</v>
      </c>
      <c r="AD71" s="15">
        <f t="shared" si="24"/>
        <v>11.9</v>
      </c>
      <c r="AE71" s="15" t="s">
        <v>34</v>
      </c>
      <c r="AF71" s="15" t="s">
        <v>35</v>
      </c>
      <c r="AG71" s="15" t="s">
        <v>35</v>
      </c>
      <c r="AH71" s="15">
        <f t="shared" si="1"/>
        <v>10</v>
      </c>
      <c r="AI71" s="15"/>
      <c r="AJ71" s="15" t="s">
        <v>61</v>
      </c>
    </row>
    <row r="72" ht="15.75" customHeight="1">
      <c r="AD72" s="21">
        <f>AVERAGE(AD3:AD71)</f>
        <v>16.50094955</v>
      </c>
      <c r="AH72" s="21">
        <f>SUM(AH3:AH71)</f>
        <v>150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5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2100</v>
      </c>
      <c r="B3" s="23" t="s">
        <v>2101</v>
      </c>
      <c r="C3" s="15" t="s">
        <v>2102</v>
      </c>
      <c r="D3" s="15" t="s">
        <v>2103</v>
      </c>
      <c r="E3" s="19">
        <v>46119.626388888886</v>
      </c>
      <c r="F3" s="19">
        <v>46119.64166666667</v>
      </c>
      <c r="G3" s="19">
        <v>46119.69097222222</v>
      </c>
      <c r="H3" s="19">
        <v>46120.76666666667</v>
      </c>
      <c r="I3" s="15" t="s">
        <v>33</v>
      </c>
      <c r="J3" s="15" t="s">
        <v>2104</v>
      </c>
      <c r="K3" s="15" t="s">
        <v>33</v>
      </c>
      <c r="L3" s="15" t="s">
        <v>2105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6" si="1">TEXT(D3-C3,"[mm]")/60</f>
        <v>0.7333333333</v>
      </c>
      <c r="V3" s="15">
        <f>TEXT(F3-E3,"[mm]")/60</f>
        <v>0.3666666667</v>
      </c>
      <c r="W3" s="15">
        <f>TEXT(H3-G3,"[mm]")/60</f>
        <v>25.81666667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6" si="2">AVERAGE(U3:AC3)</f>
        <v>8.972222222</v>
      </c>
      <c r="AE3" s="15" t="s">
        <v>34</v>
      </c>
      <c r="AF3" s="15" t="s">
        <v>35</v>
      </c>
      <c r="AG3" s="15" t="s">
        <v>35</v>
      </c>
      <c r="AH3" s="15">
        <f t="shared" ref="AH3:AH17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2100</v>
      </c>
      <c r="B4" s="23" t="s">
        <v>2106</v>
      </c>
      <c r="C4" s="15" t="s">
        <v>2107</v>
      </c>
      <c r="D4" s="15" t="s">
        <v>2108</v>
      </c>
      <c r="E4" s="19">
        <v>46114.88402777778</v>
      </c>
      <c r="F4" s="20" t="s">
        <v>2109</v>
      </c>
      <c r="G4" s="15" t="s">
        <v>33</v>
      </c>
      <c r="H4" s="15" t="s">
        <v>2110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0.1333333333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0.1333333333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2100</v>
      </c>
      <c r="B5" s="23" t="s">
        <v>2111</v>
      </c>
      <c r="C5" s="15" t="s">
        <v>2112</v>
      </c>
      <c r="D5" s="15" t="s">
        <v>2113</v>
      </c>
      <c r="E5" s="20" t="s">
        <v>2114</v>
      </c>
      <c r="F5" s="19">
        <v>46106.6625</v>
      </c>
      <c r="G5" s="15" t="s">
        <v>2115</v>
      </c>
      <c r="H5" s="15" t="s">
        <v>2116</v>
      </c>
      <c r="I5" s="15" t="s">
        <v>2117</v>
      </c>
      <c r="J5" s="15" t="s">
        <v>2118</v>
      </c>
      <c r="K5" s="15" t="s">
        <v>2119</v>
      </c>
      <c r="L5" s="15" t="s">
        <v>2120</v>
      </c>
      <c r="M5" s="15" t="s">
        <v>2121</v>
      </c>
      <c r="N5" s="15" t="s">
        <v>33</v>
      </c>
      <c r="O5" s="15" t="s">
        <v>2122</v>
      </c>
      <c r="P5" s="15" t="s">
        <v>33</v>
      </c>
      <c r="Q5" s="15" t="s">
        <v>2123</v>
      </c>
      <c r="R5" s="15" t="s">
        <v>33</v>
      </c>
      <c r="S5" s="15" t="s">
        <v>33</v>
      </c>
      <c r="T5" s="15" t="s">
        <v>33</v>
      </c>
      <c r="U5" s="15">
        <f t="shared" si="1"/>
        <v>0.1</v>
      </c>
      <c r="V5" s="20" t="s">
        <v>33</v>
      </c>
      <c r="W5" s="15">
        <f>TEXT(H5-G5,"[mm]")/60</f>
        <v>49.18333333</v>
      </c>
      <c r="X5" s="15">
        <f>TEXT(J5-I5,"[mm]")/60</f>
        <v>74.06666667</v>
      </c>
      <c r="Y5" s="15">
        <f>TEXT(L5-K5,"[mm]")/60</f>
        <v>167.0833333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2"/>
        <v>72.60833333</v>
      </c>
      <c r="AE5" s="15" t="s">
        <v>34</v>
      </c>
      <c r="AF5" s="15" t="s">
        <v>35</v>
      </c>
      <c r="AG5" s="15" t="s">
        <v>35</v>
      </c>
      <c r="AH5" s="15">
        <f t="shared" si="3"/>
        <v>10</v>
      </c>
      <c r="AI5" s="15"/>
      <c r="AJ5" s="15" t="s">
        <v>61</v>
      </c>
    </row>
    <row r="6" ht="15.75" customHeight="1">
      <c r="A6" s="15" t="s">
        <v>2100</v>
      </c>
      <c r="B6" s="23" t="s">
        <v>2124</v>
      </c>
      <c r="C6" s="15" t="s">
        <v>2125</v>
      </c>
      <c r="D6" s="15" t="s">
        <v>2126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1.183333333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2"/>
        <v>1.183333333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2100</v>
      </c>
      <c r="B7" s="23" t="s">
        <v>2127</v>
      </c>
      <c r="C7" s="15" t="s">
        <v>2128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20" t="s">
        <v>33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20" t="s">
        <v>33</v>
      </c>
      <c r="AE7" s="15" t="s">
        <v>35</v>
      </c>
      <c r="AF7" s="15" t="s">
        <v>35</v>
      </c>
      <c r="AG7" s="15" t="s">
        <v>35</v>
      </c>
      <c r="AH7" s="15">
        <f t="shared" si="3"/>
        <v>-15</v>
      </c>
      <c r="AI7" s="15"/>
      <c r="AJ7" s="15" t="s">
        <v>61</v>
      </c>
    </row>
    <row r="8" ht="15.75" customHeight="1">
      <c r="A8" s="15" t="s">
        <v>2100</v>
      </c>
      <c r="B8" s="23" t="s">
        <v>2129</v>
      </c>
      <c r="C8" s="15" t="s">
        <v>2130</v>
      </c>
      <c r="D8" s="15" t="s">
        <v>2131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ref="U8:U16" si="4">TEXT(D8-C8,"[mm]")/60</f>
        <v>0.65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ref="AD8:AD16" si="5">AVERAGE(U8:AC8)</f>
        <v>0.65</v>
      </c>
      <c r="AE8" s="15" t="s">
        <v>34</v>
      </c>
      <c r="AF8" s="15" t="s">
        <v>35</v>
      </c>
      <c r="AG8" s="15" t="s">
        <v>35</v>
      </c>
      <c r="AH8" s="15">
        <f t="shared" si="3"/>
        <v>10</v>
      </c>
      <c r="AI8" s="15"/>
      <c r="AJ8" s="15" t="s">
        <v>61</v>
      </c>
    </row>
    <row r="9" ht="15.75" customHeight="1">
      <c r="A9" s="15" t="s">
        <v>2100</v>
      </c>
      <c r="B9" s="23" t="s">
        <v>2132</v>
      </c>
      <c r="C9" s="15" t="s">
        <v>2133</v>
      </c>
      <c r="D9" s="15" t="s">
        <v>2134</v>
      </c>
      <c r="E9" s="19">
        <v>46088.64166666667</v>
      </c>
      <c r="F9" s="19">
        <v>46088.64236111111</v>
      </c>
      <c r="G9" s="15" t="s">
        <v>2135</v>
      </c>
      <c r="H9" s="15" t="s">
        <v>33</v>
      </c>
      <c r="I9" s="15" t="s">
        <v>2136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4"/>
        <v>0.1</v>
      </c>
      <c r="V9" s="15">
        <f>TEXT(F9-E9,"[mm]")/60</f>
        <v>0.01666666667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5"/>
        <v>0.05833333333</v>
      </c>
      <c r="AE9" s="15" t="s">
        <v>34</v>
      </c>
      <c r="AF9" s="15" t="s">
        <v>35</v>
      </c>
      <c r="AG9" s="15" t="s">
        <v>35</v>
      </c>
      <c r="AH9" s="15">
        <f t="shared" si="3"/>
        <v>10</v>
      </c>
      <c r="AI9" s="15"/>
      <c r="AJ9" s="15" t="s">
        <v>61</v>
      </c>
    </row>
    <row r="10" ht="15.75" customHeight="1">
      <c r="A10" s="15" t="s">
        <v>2100</v>
      </c>
      <c r="B10" s="23" t="s">
        <v>2137</v>
      </c>
      <c r="C10" s="15" t="s">
        <v>2138</v>
      </c>
      <c r="D10" s="15" t="s">
        <v>2139</v>
      </c>
      <c r="E10" s="15" t="s">
        <v>33</v>
      </c>
      <c r="F10" s="15" t="s">
        <v>2140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si="4"/>
        <v>8.116666667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si="5"/>
        <v>8.116666667</v>
      </c>
      <c r="AE10" s="15" t="s">
        <v>34</v>
      </c>
      <c r="AF10" s="15" t="s">
        <v>35</v>
      </c>
      <c r="AG10" s="15" t="s">
        <v>35</v>
      </c>
      <c r="AH10" s="15">
        <f t="shared" si="3"/>
        <v>10</v>
      </c>
      <c r="AI10" s="15"/>
      <c r="AJ10" s="15" t="s">
        <v>61</v>
      </c>
    </row>
    <row r="11" ht="15.75" customHeight="1">
      <c r="A11" s="15" t="s">
        <v>2100</v>
      </c>
      <c r="B11" s="23" t="s">
        <v>2141</v>
      </c>
      <c r="C11" s="15" t="s">
        <v>2142</v>
      </c>
      <c r="D11" s="15" t="s">
        <v>2143</v>
      </c>
      <c r="E11" s="19">
        <v>46086.649305555555</v>
      </c>
      <c r="F11" s="19">
        <v>46086.65555555555</v>
      </c>
      <c r="G11" s="19">
        <v>46086.714583333334</v>
      </c>
      <c r="H11" s="19">
        <v>46087.47152777778</v>
      </c>
      <c r="I11" s="19">
        <v>46087.49652777778</v>
      </c>
      <c r="J11" s="19">
        <v>46087.498611111114</v>
      </c>
      <c r="K11" s="19">
        <v>46087.50208333333</v>
      </c>
      <c r="L11" s="19">
        <v>46087.71944444445</v>
      </c>
      <c r="M11" s="19">
        <v>46087.729166666664</v>
      </c>
      <c r="N11" s="19">
        <v>46091.45972222222</v>
      </c>
      <c r="O11" s="15" t="s">
        <v>33</v>
      </c>
      <c r="P11" s="15" t="s">
        <v>2144</v>
      </c>
      <c r="Q11" s="15" t="s">
        <v>33</v>
      </c>
      <c r="R11" s="15" t="s">
        <v>2145</v>
      </c>
      <c r="S11" s="15" t="s">
        <v>33</v>
      </c>
      <c r="T11" s="15" t="s">
        <v>33</v>
      </c>
      <c r="U11" s="15">
        <f t="shared" si="4"/>
        <v>0.7666666667</v>
      </c>
      <c r="V11" s="15">
        <f>TEXT(F11-E11,"[mm]")/60</f>
        <v>0.15</v>
      </c>
      <c r="W11" s="15">
        <f>TEXT(H11-G11,"[mm]")/60</f>
        <v>18.16666667</v>
      </c>
      <c r="X11" s="15">
        <f>TEXT(J11-I11,"[mm]")/60</f>
        <v>0.05</v>
      </c>
      <c r="Y11" s="15">
        <f>TEXT(L11-K11,"[mm]")/60</f>
        <v>5.216666667</v>
      </c>
      <c r="Z11" s="15">
        <f>TEXT(N11-M11,"[mm]")/60</f>
        <v>89.53333333</v>
      </c>
      <c r="AA11" s="20" t="s">
        <v>33</v>
      </c>
      <c r="AB11" s="20" t="s">
        <v>33</v>
      </c>
      <c r="AC11" s="20" t="s">
        <v>33</v>
      </c>
      <c r="AD11" s="15">
        <f t="shared" si="5"/>
        <v>18.98055556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2100</v>
      </c>
      <c r="B12" s="23" t="s">
        <v>2146</v>
      </c>
      <c r="C12" s="15" t="s">
        <v>2147</v>
      </c>
      <c r="D12" s="15" t="s">
        <v>2148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4"/>
        <v>1.183333333</v>
      </c>
      <c r="V12" s="20" t="s">
        <v>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5"/>
        <v>1.183333333</v>
      </c>
      <c r="AE12" s="15" t="s">
        <v>34</v>
      </c>
      <c r="AF12" s="15" t="s">
        <v>35</v>
      </c>
      <c r="AG12" s="15" t="s">
        <v>35</v>
      </c>
      <c r="AH12" s="15">
        <f t="shared" si="3"/>
        <v>10</v>
      </c>
      <c r="AI12" s="15"/>
      <c r="AJ12" s="15" t="s">
        <v>61</v>
      </c>
    </row>
    <row r="13" ht="15.75" customHeight="1">
      <c r="A13" s="15" t="s">
        <v>2100</v>
      </c>
      <c r="B13" s="23" t="s">
        <v>2149</v>
      </c>
      <c r="C13" s="15" t="s">
        <v>2150</v>
      </c>
      <c r="D13" s="15" t="s">
        <v>2151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4"/>
        <v>0.4166666667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5"/>
        <v>0.4166666667</v>
      </c>
      <c r="AE13" s="15" t="s">
        <v>34</v>
      </c>
      <c r="AF13" s="15" t="s">
        <v>35</v>
      </c>
      <c r="AG13" s="15" t="s">
        <v>35</v>
      </c>
      <c r="AH13" s="15">
        <f t="shared" si="3"/>
        <v>10</v>
      </c>
      <c r="AI13" s="15"/>
      <c r="AJ13" s="15" t="s">
        <v>61</v>
      </c>
    </row>
    <row r="14" ht="15.75" customHeight="1">
      <c r="A14" s="15" t="s">
        <v>2100</v>
      </c>
      <c r="B14" s="23" t="s">
        <v>2152</v>
      </c>
      <c r="C14" s="15" t="s">
        <v>2153</v>
      </c>
      <c r="D14" s="15" t="s">
        <v>2154</v>
      </c>
      <c r="E14" s="19">
        <v>46071.43402777778</v>
      </c>
      <c r="F14" s="19">
        <v>46071.46805555555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si="4"/>
        <v>1.15</v>
      </c>
      <c r="V14" s="15">
        <f>TEXT(F14-E14,"[mm]")/60</f>
        <v>0.8166666667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15">
        <f t="shared" si="5"/>
        <v>0.9833333333</v>
      </c>
      <c r="AE14" s="15" t="s">
        <v>34</v>
      </c>
      <c r="AF14" s="15" t="s">
        <v>35</v>
      </c>
      <c r="AG14" s="15" t="s">
        <v>35</v>
      </c>
      <c r="AH14" s="15">
        <f t="shared" si="3"/>
        <v>10</v>
      </c>
      <c r="AI14" s="15"/>
      <c r="AJ14" s="15" t="s">
        <v>61</v>
      </c>
    </row>
    <row r="15" ht="15.75" customHeight="1">
      <c r="A15" s="15" t="s">
        <v>2100</v>
      </c>
      <c r="B15" s="23" t="s">
        <v>2155</v>
      </c>
      <c r="C15" s="15" t="s">
        <v>2156</v>
      </c>
      <c r="D15" s="15" t="s">
        <v>2157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4"/>
        <v>6.9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5"/>
        <v>6.9</v>
      </c>
      <c r="AE15" s="15" t="s">
        <v>34</v>
      </c>
      <c r="AF15" s="15" t="s">
        <v>35</v>
      </c>
      <c r="AG15" s="15" t="s">
        <v>35</v>
      </c>
      <c r="AH15" s="15">
        <f t="shared" si="3"/>
        <v>10</v>
      </c>
      <c r="AI15" s="15"/>
      <c r="AJ15" s="15" t="s">
        <v>61</v>
      </c>
    </row>
    <row r="16" ht="15.75" customHeight="1">
      <c r="A16" s="15" t="s">
        <v>2100</v>
      </c>
      <c r="B16" s="23" t="s">
        <v>2158</v>
      </c>
      <c r="C16" s="15" t="s">
        <v>2159</v>
      </c>
      <c r="D16" s="15" t="s">
        <v>2160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4"/>
        <v>0.45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si="5"/>
        <v>0.45</v>
      </c>
      <c r="AE16" s="15" t="s">
        <v>34</v>
      </c>
      <c r="AF16" s="15" t="s">
        <v>35</v>
      </c>
      <c r="AG16" s="15" t="s">
        <v>35</v>
      </c>
      <c r="AH16" s="15">
        <f t="shared" si="3"/>
        <v>10</v>
      </c>
      <c r="AI16" s="15"/>
      <c r="AJ16" s="15" t="s">
        <v>61</v>
      </c>
    </row>
    <row r="17" ht="15.75" customHeight="1">
      <c r="A17" s="15" t="s">
        <v>2100</v>
      </c>
      <c r="B17" s="23" t="s">
        <v>2161</v>
      </c>
      <c r="C17" s="15" t="s">
        <v>2162</v>
      </c>
      <c r="D17" s="15" t="s">
        <v>33</v>
      </c>
      <c r="E17" s="15" t="s">
        <v>2163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20" t="s">
        <v>33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20" t="s">
        <v>33</v>
      </c>
      <c r="AE17" s="15" t="s">
        <v>35</v>
      </c>
      <c r="AF17" s="15" t="s">
        <v>35</v>
      </c>
      <c r="AG17" s="15" t="s">
        <v>35</v>
      </c>
      <c r="AH17" s="15">
        <f t="shared" si="3"/>
        <v>-15</v>
      </c>
      <c r="AI17" s="15"/>
      <c r="AJ17" s="15" t="s">
        <v>61</v>
      </c>
    </row>
    <row r="18">
      <c r="AD18" s="21">
        <f>AVERAGE(AD2:AD17)</f>
        <v>9.279700855</v>
      </c>
      <c r="AH18" s="21">
        <f>SUM(AH3:AH17)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64.71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2164</v>
      </c>
      <c r="B3" s="16" t="s">
        <v>2165</v>
      </c>
      <c r="C3" s="15" t="s">
        <v>2166</v>
      </c>
      <c r="D3" s="15" t="s">
        <v>2167</v>
      </c>
      <c r="E3" s="15" t="s">
        <v>2168</v>
      </c>
      <c r="F3" s="15" t="s">
        <v>2169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12" si="1">TEXT(D3-C3,"[mm]")/60</f>
        <v>0.4666666667</v>
      </c>
      <c r="V3" s="15">
        <f t="shared" ref="V3:V4" si="2">TEXT(F3-E3,"[mm]")/60</f>
        <v>2.583333333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12" si="3">AVERAGE(U3:AC3)</f>
        <v>1.525</v>
      </c>
      <c r="AE3" s="15" t="s">
        <v>34</v>
      </c>
      <c r="AF3" s="15" t="s">
        <v>35</v>
      </c>
      <c r="AG3" s="15" t="s">
        <v>35</v>
      </c>
      <c r="AH3" s="15">
        <f t="shared" ref="AH3:AH12" si="4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2164</v>
      </c>
      <c r="B4" s="16" t="s">
        <v>2170</v>
      </c>
      <c r="C4" s="15" t="s">
        <v>2171</v>
      </c>
      <c r="D4" s="15" t="s">
        <v>2172</v>
      </c>
      <c r="E4" s="15" t="s">
        <v>2173</v>
      </c>
      <c r="F4" s="15" t="s">
        <v>1179</v>
      </c>
      <c r="G4" s="15" t="s">
        <v>2174</v>
      </c>
      <c r="H4" s="15" t="s">
        <v>1168</v>
      </c>
      <c r="I4" s="15" t="s">
        <v>1170</v>
      </c>
      <c r="J4" s="15" t="s">
        <v>2175</v>
      </c>
      <c r="K4" s="15" t="s">
        <v>2176</v>
      </c>
      <c r="L4" s="15" t="s">
        <v>2177</v>
      </c>
      <c r="M4" s="15" t="s">
        <v>1523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0.3833333333</v>
      </c>
      <c r="V4" s="15">
        <f t="shared" si="2"/>
        <v>0.8666666667</v>
      </c>
      <c r="W4" s="15">
        <f>TEXT(H4-G4,"[mm]")/60</f>
        <v>0.3833333333</v>
      </c>
      <c r="X4" s="15">
        <f>TEXT(J4-I4,"[mm]")/60</f>
        <v>0.5166666667</v>
      </c>
      <c r="Y4" s="15">
        <f>TEXT(L4-K4,"[mm]")/60</f>
        <v>15.45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3"/>
        <v>3.52</v>
      </c>
      <c r="AE4" s="15" t="s">
        <v>34</v>
      </c>
      <c r="AF4" s="15" t="s">
        <v>35</v>
      </c>
      <c r="AG4" s="15" t="s">
        <v>35</v>
      </c>
      <c r="AH4" s="15">
        <f t="shared" si="4"/>
        <v>10</v>
      </c>
      <c r="AI4" s="15"/>
      <c r="AJ4" s="15" t="s">
        <v>61</v>
      </c>
    </row>
    <row r="5" ht="15.75" customHeight="1">
      <c r="A5" s="15" t="s">
        <v>2164</v>
      </c>
      <c r="B5" s="16" t="s">
        <v>2178</v>
      </c>
      <c r="C5" s="15" t="s">
        <v>1578</v>
      </c>
      <c r="D5" s="15" t="s">
        <v>2179</v>
      </c>
      <c r="E5" s="15" t="s">
        <v>2180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1"/>
        <v>0.25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3"/>
        <v>0.25</v>
      </c>
      <c r="AE5" s="15" t="s">
        <v>34</v>
      </c>
      <c r="AF5" s="15" t="s">
        <v>35</v>
      </c>
      <c r="AG5" s="15" t="s">
        <v>35</v>
      </c>
      <c r="AH5" s="15">
        <f t="shared" si="4"/>
        <v>10</v>
      </c>
      <c r="AI5" s="15"/>
      <c r="AJ5" s="15" t="s">
        <v>61</v>
      </c>
    </row>
    <row r="6" ht="15.75" customHeight="1">
      <c r="A6" s="15" t="s">
        <v>2164</v>
      </c>
      <c r="B6" s="16" t="s">
        <v>2181</v>
      </c>
      <c r="C6" s="15" t="s">
        <v>2182</v>
      </c>
      <c r="D6" s="15" t="s">
        <v>2183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0.95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3"/>
        <v>0.95</v>
      </c>
      <c r="AE6" s="15" t="s">
        <v>34</v>
      </c>
      <c r="AF6" s="15" t="s">
        <v>35</v>
      </c>
      <c r="AG6" s="15" t="s">
        <v>35</v>
      </c>
      <c r="AH6" s="15">
        <f t="shared" si="4"/>
        <v>10</v>
      </c>
      <c r="AI6" s="15"/>
      <c r="AJ6" s="15" t="s">
        <v>61</v>
      </c>
    </row>
    <row r="7" ht="15.75" customHeight="1">
      <c r="A7" s="15" t="s">
        <v>2164</v>
      </c>
      <c r="B7" s="16" t="s">
        <v>2184</v>
      </c>
      <c r="C7" s="15" t="s">
        <v>2185</v>
      </c>
      <c r="D7" s="15" t="s">
        <v>2186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1"/>
        <v>0.3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3"/>
        <v>0.3</v>
      </c>
      <c r="AE7" s="15" t="s">
        <v>34</v>
      </c>
      <c r="AF7" s="15" t="s">
        <v>35</v>
      </c>
      <c r="AG7" s="15" t="s">
        <v>35</v>
      </c>
      <c r="AH7" s="15">
        <f t="shared" si="4"/>
        <v>10</v>
      </c>
      <c r="AI7" s="15"/>
      <c r="AJ7" s="15" t="s">
        <v>61</v>
      </c>
    </row>
    <row r="8" ht="15.75" customHeight="1">
      <c r="A8" s="15" t="s">
        <v>2164</v>
      </c>
      <c r="B8" s="16" t="s">
        <v>2187</v>
      </c>
      <c r="C8" s="15" t="s">
        <v>2188</v>
      </c>
      <c r="D8" s="15" t="s">
        <v>1789</v>
      </c>
      <c r="E8" s="15" t="s">
        <v>2189</v>
      </c>
      <c r="F8" s="15" t="s">
        <v>2190</v>
      </c>
      <c r="G8" s="15" t="s">
        <v>2191</v>
      </c>
      <c r="H8" s="15" t="s">
        <v>2192</v>
      </c>
      <c r="I8" s="15" t="s">
        <v>2193</v>
      </c>
      <c r="J8" s="15" t="s">
        <v>2194</v>
      </c>
      <c r="K8" s="15" t="s">
        <v>2195</v>
      </c>
      <c r="L8" s="15" t="s">
        <v>2196</v>
      </c>
      <c r="M8" s="15" t="s">
        <v>2197</v>
      </c>
      <c r="N8" s="15" t="s">
        <v>2198</v>
      </c>
      <c r="O8" s="15" t="s">
        <v>2199</v>
      </c>
      <c r="P8" s="15" t="s">
        <v>33</v>
      </c>
      <c r="Q8" s="15" t="s">
        <v>2200</v>
      </c>
      <c r="R8" s="15" t="s">
        <v>33</v>
      </c>
      <c r="S8" s="15" t="s">
        <v>2201</v>
      </c>
      <c r="T8" s="15" t="s">
        <v>33</v>
      </c>
      <c r="U8" s="15">
        <f t="shared" si="1"/>
        <v>2.05</v>
      </c>
      <c r="V8" s="15">
        <f>TEXT(F8-E8,"[mm]")/60</f>
        <v>4.2</v>
      </c>
      <c r="W8" s="15">
        <f>TEXT(H8-G8,"[mm]")/60</f>
        <v>24.16666667</v>
      </c>
      <c r="X8" s="15">
        <f>TEXT(J8-I8,"[mm]")/60</f>
        <v>47.91666667</v>
      </c>
      <c r="Y8" s="15">
        <f>TEXT(L8-K8,"[mm]")/60</f>
        <v>70.71666667</v>
      </c>
      <c r="Z8" s="15">
        <f>TEXT(N8-M8,"[mm]")/60</f>
        <v>74.81666667</v>
      </c>
      <c r="AA8" s="20" t="s">
        <v>33</v>
      </c>
      <c r="AB8" s="20" t="s">
        <v>33</v>
      </c>
      <c r="AC8" s="20" t="s">
        <v>33</v>
      </c>
      <c r="AD8" s="15">
        <f t="shared" si="3"/>
        <v>37.31111111</v>
      </c>
      <c r="AE8" s="15" t="s">
        <v>34</v>
      </c>
      <c r="AF8" s="15" t="s">
        <v>35</v>
      </c>
      <c r="AG8" s="15" t="s">
        <v>35</v>
      </c>
      <c r="AH8" s="15">
        <f t="shared" si="4"/>
        <v>10</v>
      </c>
      <c r="AI8" s="15"/>
      <c r="AJ8" s="15" t="s">
        <v>61</v>
      </c>
    </row>
    <row r="9" ht="15.75" customHeight="1">
      <c r="A9" s="15" t="s">
        <v>2164</v>
      </c>
      <c r="B9" s="16" t="s">
        <v>2202</v>
      </c>
      <c r="C9" s="15" t="s">
        <v>2203</v>
      </c>
      <c r="D9" s="15" t="s">
        <v>979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1"/>
        <v>0.6666666667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3"/>
        <v>0.6666666667</v>
      </c>
      <c r="AE9" s="15" t="s">
        <v>34</v>
      </c>
      <c r="AF9" s="15" t="s">
        <v>35</v>
      </c>
      <c r="AG9" s="15" t="s">
        <v>35</v>
      </c>
      <c r="AH9" s="15">
        <f t="shared" si="4"/>
        <v>10</v>
      </c>
      <c r="AI9" s="15"/>
      <c r="AJ9" s="15" t="s">
        <v>61</v>
      </c>
    </row>
    <row r="10" ht="15.75" customHeight="1">
      <c r="A10" s="15" t="s">
        <v>2164</v>
      </c>
      <c r="B10" s="16" t="s">
        <v>2204</v>
      </c>
      <c r="C10" s="15" t="s">
        <v>2205</v>
      </c>
      <c r="D10" s="15" t="s">
        <v>2206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si="1"/>
        <v>7.983333333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si="3"/>
        <v>7.983333333</v>
      </c>
      <c r="AE10" s="15" t="s">
        <v>34</v>
      </c>
      <c r="AF10" s="15" t="s">
        <v>35</v>
      </c>
      <c r="AG10" s="15" t="s">
        <v>35</v>
      </c>
      <c r="AH10" s="15">
        <f t="shared" si="4"/>
        <v>10</v>
      </c>
      <c r="AI10" s="15"/>
      <c r="AJ10" s="15" t="s">
        <v>61</v>
      </c>
    </row>
    <row r="11" ht="15.75" customHeight="1">
      <c r="A11" s="15" t="s">
        <v>2164</v>
      </c>
      <c r="B11" s="16" t="s">
        <v>2207</v>
      </c>
      <c r="C11" s="15" t="s">
        <v>2208</v>
      </c>
      <c r="D11" s="15" t="s">
        <v>2209</v>
      </c>
      <c r="E11" s="15" t="s">
        <v>2210</v>
      </c>
      <c r="F11" s="15" t="s">
        <v>2211</v>
      </c>
      <c r="G11" s="15" t="s">
        <v>2212</v>
      </c>
      <c r="H11" s="15" t="s">
        <v>2213</v>
      </c>
      <c r="I11" s="15" t="s">
        <v>2214</v>
      </c>
      <c r="J11" s="15" t="s">
        <v>2215</v>
      </c>
      <c r="K11" s="15" t="s">
        <v>2216</v>
      </c>
      <c r="L11" s="15" t="s">
        <v>33</v>
      </c>
      <c r="M11" s="15" t="s">
        <v>2217</v>
      </c>
      <c r="N11" s="15" t="s">
        <v>33</v>
      </c>
      <c r="O11" s="15" t="s">
        <v>2218</v>
      </c>
      <c r="P11" s="15" t="s">
        <v>33</v>
      </c>
      <c r="Q11" s="15" t="s">
        <v>2219</v>
      </c>
      <c r="R11" s="15" t="s">
        <v>33</v>
      </c>
      <c r="S11" s="15" t="s">
        <v>2220</v>
      </c>
      <c r="T11" s="15" t="s">
        <v>33</v>
      </c>
      <c r="U11" s="15">
        <f t="shared" si="1"/>
        <v>0.35</v>
      </c>
      <c r="V11" s="15">
        <f t="shared" ref="V11:V12" si="5">TEXT(F11-E11,"[mm]")/60</f>
        <v>20.3</v>
      </c>
      <c r="W11" s="15">
        <f t="shared" ref="W11:W12" si="6">TEXT(H11-G11,"[mm]")/60</f>
        <v>65.15</v>
      </c>
      <c r="X11" s="15">
        <f>TEXT(J11-I11,"[mm]")/60</f>
        <v>67.61666667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si="3"/>
        <v>38.35416667</v>
      </c>
      <c r="AE11" s="15" t="s">
        <v>34</v>
      </c>
      <c r="AF11" s="15" t="s">
        <v>35</v>
      </c>
      <c r="AG11" s="15" t="s">
        <v>35</v>
      </c>
      <c r="AH11" s="15">
        <f t="shared" si="4"/>
        <v>10</v>
      </c>
      <c r="AI11" s="15"/>
      <c r="AJ11" s="15" t="s">
        <v>61</v>
      </c>
    </row>
    <row r="12" ht="15.75" customHeight="1">
      <c r="A12" s="15" t="s">
        <v>2164</v>
      </c>
      <c r="B12" s="16" t="s">
        <v>2221</v>
      </c>
      <c r="C12" s="15" t="s">
        <v>2222</v>
      </c>
      <c r="D12" s="15" t="s">
        <v>2223</v>
      </c>
      <c r="E12" s="15" t="s">
        <v>2224</v>
      </c>
      <c r="F12" s="15" t="s">
        <v>2225</v>
      </c>
      <c r="G12" s="15" t="s">
        <v>2226</v>
      </c>
      <c r="H12" s="15" t="s">
        <v>2227</v>
      </c>
      <c r="I12" s="15" t="s">
        <v>2228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1"/>
        <v>0.3</v>
      </c>
      <c r="V12" s="15">
        <f t="shared" si="5"/>
        <v>0.1666666667</v>
      </c>
      <c r="W12" s="15">
        <f t="shared" si="6"/>
        <v>1.3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3"/>
        <v>0.5888888889</v>
      </c>
      <c r="AE12" s="15" t="s">
        <v>34</v>
      </c>
      <c r="AF12" s="15" t="s">
        <v>35</v>
      </c>
      <c r="AG12" s="15" t="s">
        <v>35</v>
      </c>
      <c r="AH12" s="15">
        <f t="shared" si="4"/>
        <v>10</v>
      </c>
      <c r="AI12" s="15"/>
      <c r="AJ12" s="15" t="s">
        <v>61</v>
      </c>
    </row>
    <row r="13">
      <c r="AD13" s="21">
        <f>AVERAGE(AD2:AD12)</f>
        <v>9.144916667</v>
      </c>
      <c r="AH13" s="21">
        <f>SUM(AH3:AH12)</f>
        <v>100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printOptions/>
  <pageMargins bottom="1.0" footer="0.0" header="0.0" left="0.75" right="0.75" top="1.0"/>
  <pageSetup orientation="landscape"/>
  <drawing r:id="rId12"/>
  <legacy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5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2229</v>
      </c>
      <c r="B3" s="23" t="s">
        <v>2230</v>
      </c>
      <c r="C3" s="15" t="s">
        <v>2231</v>
      </c>
      <c r="D3" s="15" t="s">
        <v>2232</v>
      </c>
      <c r="E3" s="15" t="s">
        <v>2233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4" si="1">TEXT(D3-C3,"[mm]")/60</f>
        <v>1.316666667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4" si="2">AVERAGE(U3:AC3)</f>
        <v>1.316666667</v>
      </c>
      <c r="AE3" s="15" t="s">
        <v>34</v>
      </c>
      <c r="AF3" s="15" t="s">
        <v>35</v>
      </c>
      <c r="AG3" s="15" t="s">
        <v>35</v>
      </c>
      <c r="AH3" s="15">
        <f t="shared" ref="AH3:AH102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2229</v>
      </c>
      <c r="B4" s="23" t="s">
        <v>2234</v>
      </c>
      <c r="C4" s="15" t="s">
        <v>2235</v>
      </c>
      <c r="D4" s="15" t="s">
        <v>2236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0.65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0.65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2229</v>
      </c>
      <c r="B5" s="23" t="s">
        <v>2237</v>
      </c>
      <c r="C5" s="15" t="s">
        <v>2238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3"/>
        <v>-15</v>
      </c>
      <c r="AI5" s="15"/>
      <c r="AJ5" s="15" t="s">
        <v>61</v>
      </c>
    </row>
    <row r="6" ht="15.75" customHeight="1">
      <c r="A6" s="15" t="s">
        <v>2229</v>
      </c>
      <c r="B6" s="23" t="s">
        <v>2239</v>
      </c>
      <c r="C6" s="15" t="s">
        <v>2240</v>
      </c>
      <c r="D6" s="15" t="s">
        <v>2241</v>
      </c>
      <c r="E6" s="15" t="s">
        <v>2242</v>
      </c>
      <c r="F6" s="15" t="s">
        <v>2243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ref="U6:U11" si="4">TEXT(D6-C6,"[mm]")/60</f>
        <v>1.65</v>
      </c>
      <c r="V6" s="15">
        <f>TEXT(F6-E6,"[mm]")/60</f>
        <v>0.03333333333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ref="AD6:AD11" si="5">AVERAGE(U6:AC6)</f>
        <v>0.8416666667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2229</v>
      </c>
      <c r="B7" s="23" t="s">
        <v>2244</v>
      </c>
      <c r="C7" s="15" t="s">
        <v>2245</v>
      </c>
      <c r="D7" s="15" t="s">
        <v>2246</v>
      </c>
      <c r="E7" s="15" t="s">
        <v>33</v>
      </c>
      <c r="F7" s="15" t="s">
        <v>2247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4"/>
        <v>0.5333333333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5"/>
        <v>0.5333333333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2229</v>
      </c>
      <c r="B8" s="23" t="s">
        <v>2248</v>
      </c>
      <c r="C8" s="15" t="s">
        <v>641</v>
      </c>
      <c r="D8" s="15" t="s">
        <v>2249</v>
      </c>
      <c r="E8" s="15" t="s">
        <v>2250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4"/>
        <v>0.7166666667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5"/>
        <v>0.7166666667</v>
      </c>
      <c r="AE8" s="15" t="s">
        <v>34</v>
      </c>
      <c r="AF8" s="15" t="s">
        <v>35</v>
      </c>
      <c r="AG8" s="15" t="s">
        <v>35</v>
      </c>
      <c r="AH8" s="15">
        <f t="shared" si="3"/>
        <v>10</v>
      </c>
      <c r="AI8" s="15"/>
      <c r="AJ8" s="15" t="s">
        <v>61</v>
      </c>
    </row>
    <row r="9" ht="15.75" customHeight="1">
      <c r="A9" s="15" t="s">
        <v>2229</v>
      </c>
      <c r="B9" s="23" t="s">
        <v>2251</v>
      </c>
      <c r="C9" s="15" t="s">
        <v>2252</v>
      </c>
      <c r="D9" s="15" t="s">
        <v>2253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4"/>
        <v>0.8333333333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5"/>
        <v>0.8333333333</v>
      </c>
      <c r="AE9" s="15" t="s">
        <v>34</v>
      </c>
      <c r="AF9" s="15" t="s">
        <v>35</v>
      </c>
      <c r="AG9" s="15" t="s">
        <v>35</v>
      </c>
      <c r="AH9" s="15">
        <f t="shared" si="3"/>
        <v>10</v>
      </c>
      <c r="AI9" s="15"/>
      <c r="AJ9" s="15" t="s">
        <v>61</v>
      </c>
    </row>
    <row r="10" ht="15.75" customHeight="1">
      <c r="A10" s="15" t="s">
        <v>2229</v>
      </c>
      <c r="B10" s="23" t="s">
        <v>2254</v>
      </c>
      <c r="C10" s="15" t="s">
        <v>2255</v>
      </c>
      <c r="D10" s="15" t="s">
        <v>1581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si="4"/>
        <v>0.2333333333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si="5"/>
        <v>0.2333333333</v>
      </c>
      <c r="AE10" s="15" t="s">
        <v>34</v>
      </c>
      <c r="AF10" s="15" t="s">
        <v>35</v>
      </c>
      <c r="AG10" s="15" t="s">
        <v>35</v>
      </c>
      <c r="AH10" s="15">
        <f t="shared" si="3"/>
        <v>10</v>
      </c>
      <c r="AI10" s="15"/>
      <c r="AJ10" s="15" t="s">
        <v>61</v>
      </c>
    </row>
    <row r="11" ht="15.75" customHeight="1">
      <c r="A11" s="15" t="s">
        <v>2229</v>
      </c>
      <c r="B11" s="23" t="s">
        <v>2256</v>
      </c>
      <c r="C11" s="15" t="s">
        <v>2257</v>
      </c>
      <c r="D11" s="15" t="s">
        <v>2258</v>
      </c>
      <c r="E11" s="15" t="s">
        <v>2259</v>
      </c>
      <c r="F11" s="15" t="s">
        <v>2260</v>
      </c>
      <c r="G11" s="15" t="s">
        <v>2261</v>
      </c>
      <c r="H11" s="15" t="s">
        <v>33</v>
      </c>
      <c r="I11" s="15" t="s">
        <v>2262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si="4"/>
        <v>11.03333333</v>
      </c>
      <c r="V11" s="15">
        <f>TEXT(F11-E11,"[mm]")/60</f>
        <v>80.75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si="5"/>
        <v>45.89166667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2229</v>
      </c>
      <c r="B12" s="23" t="s">
        <v>2263</v>
      </c>
      <c r="C12" s="15" t="s">
        <v>2264</v>
      </c>
      <c r="D12" s="15" t="s">
        <v>33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20" t="s">
        <v>33</v>
      </c>
      <c r="V12" s="20" t="s">
        <v>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20" t="s">
        <v>33</v>
      </c>
      <c r="AE12" s="15" t="s">
        <v>35</v>
      </c>
      <c r="AF12" s="15" t="s">
        <v>35</v>
      </c>
      <c r="AG12" s="15" t="s">
        <v>35</v>
      </c>
      <c r="AH12" s="15">
        <f t="shared" si="3"/>
        <v>-15</v>
      </c>
      <c r="AI12" s="15"/>
      <c r="AJ12" s="15" t="s">
        <v>61</v>
      </c>
    </row>
    <row r="13" ht="15.75" customHeight="1">
      <c r="A13" s="15" t="s">
        <v>2229</v>
      </c>
      <c r="B13" s="23" t="s">
        <v>2265</v>
      </c>
      <c r="C13" s="15" t="s">
        <v>2266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20" t="s">
        <v>33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20" t="s">
        <v>33</v>
      </c>
      <c r="AE13" s="15" t="s">
        <v>35</v>
      </c>
      <c r="AF13" s="15" t="s">
        <v>35</v>
      </c>
      <c r="AG13" s="15" t="s">
        <v>35</v>
      </c>
      <c r="AH13" s="15">
        <f t="shared" si="3"/>
        <v>-15</v>
      </c>
      <c r="AI13" s="15"/>
      <c r="AJ13" s="15" t="s">
        <v>61</v>
      </c>
    </row>
    <row r="14" ht="15.75" customHeight="1">
      <c r="A14" s="15" t="s">
        <v>2229</v>
      </c>
      <c r="B14" s="23" t="s">
        <v>2267</v>
      </c>
      <c r="C14" s="15" t="s">
        <v>2268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20" t="s">
        <v>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20" t="s">
        <v>33</v>
      </c>
      <c r="AE14" s="15" t="s">
        <v>35</v>
      </c>
      <c r="AF14" s="15" t="s">
        <v>35</v>
      </c>
      <c r="AG14" s="15" t="s">
        <v>35</v>
      </c>
      <c r="AH14" s="15">
        <f t="shared" si="3"/>
        <v>-15</v>
      </c>
      <c r="AI14" s="15"/>
      <c r="AJ14" s="15" t="s">
        <v>61</v>
      </c>
    </row>
    <row r="15" ht="15.75" customHeight="1">
      <c r="A15" s="15" t="s">
        <v>2229</v>
      </c>
      <c r="B15" s="23" t="s">
        <v>2269</v>
      </c>
      <c r="C15" s="15" t="s">
        <v>2270</v>
      </c>
      <c r="D15" s="15" t="s">
        <v>33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20" t="s">
        <v>33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20" t="s">
        <v>33</v>
      </c>
      <c r="AE15" s="15" t="s">
        <v>35</v>
      </c>
      <c r="AF15" s="15" t="s">
        <v>35</v>
      </c>
      <c r="AG15" s="15" t="s">
        <v>35</v>
      </c>
      <c r="AH15" s="15">
        <f t="shared" si="3"/>
        <v>-15</v>
      </c>
      <c r="AI15" s="15"/>
      <c r="AJ15" s="15" t="s">
        <v>61</v>
      </c>
    </row>
    <row r="16" ht="15.75" customHeight="1">
      <c r="A16" s="15" t="s">
        <v>2229</v>
      </c>
      <c r="B16" s="23" t="s">
        <v>2271</v>
      </c>
      <c r="C16" s="15" t="s">
        <v>2272</v>
      </c>
      <c r="D16" s="15" t="s">
        <v>2273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ref="U16:U33" si="6">TEXT(D16-C16,"[mm]")/60</f>
        <v>0.7666666667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ref="AD16:AD33" si="7">AVERAGE(U16:AC16)</f>
        <v>0.7666666667</v>
      </c>
      <c r="AE16" s="15" t="s">
        <v>34</v>
      </c>
      <c r="AF16" s="15" t="s">
        <v>35</v>
      </c>
      <c r="AG16" s="15" t="s">
        <v>35</v>
      </c>
      <c r="AH16" s="15">
        <f t="shared" si="3"/>
        <v>10</v>
      </c>
      <c r="AI16" s="15"/>
      <c r="AJ16" s="15" t="s">
        <v>61</v>
      </c>
    </row>
    <row r="17" ht="15.75" customHeight="1">
      <c r="A17" s="15" t="s">
        <v>2229</v>
      </c>
      <c r="B17" s="23" t="s">
        <v>2274</v>
      </c>
      <c r="C17" s="15" t="s">
        <v>2275</v>
      </c>
      <c r="D17" s="15" t="s">
        <v>2276</v>
      </c>
      <c r="E17" s="15" t="s">
        <v>33</v>
      </c>
      <c r="F17" s="15" t="s">
        <v>2277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6"/>
        <v>7.466666667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si="7"/>
        <v>7.466666667</v>
      </c>
      <c r="AE17" s="15" t="s">
        <v>34</v>
      </c>
      <c r="AF17" s="15" t="s">
        <v>35</v>
      </c>
      <c r="AG17" s="15" t="s">
        <v>35</v>
      </c>
      <c r="AH17" s="15">
        <f t="shared" si="3"/>
        <v>10</v>
      </c>
      <c r="AI17" s="15"/>
      <c r="AJ17" s="15" t="s">
        <v>61</v>
      </c>
    </row>
    <row r="18" ht="15.75" customHeight="1">
      <c r="A18" s="15" t="s">
        <v>2229</v>
      </c>
      <c r="B18" s="23" t="s">
        <v>2278</v>
      </c>
      <c r="C18" s="15" t="s">
        <v>2279</v>
      </c>
      <c r="D18" s="15" t="s">
        <v>601</v>
      </c>
      <c r="E18" s="15" t="s">
        <v>33</v>
      </c>
      <c r="F18" s="15" t="s">
        <v>2280</v>
      </c>
      <c r="G18" s="15" t="s">
        <v>33</v>
      </c>
      <c r="H18" s="15" t="s">
        <v>2281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6"/>
        <v>28.36666667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7"/>
        <v>28.36666667</v>
      </c>
      <c r="AE18" s="15" t="s">
        <v>35</v>
      </c>
      <c r="AF18" s="15" t="s">
        <v>34</v>
      </c>
      <c r="AG18" s="15" t="s">
        <v>35</v>
      </c>
      <c r="AH18" s="15">
        <f t="shared" si="3"/>
        <v>5</v>
      </c>
      <c r="AI18" s="15"/>
      <c r="AJ18" s="15" t="s">
        <v>61</v>
      </c>
    </row>
    <row r="19" ht="15.75" customHeight="1">
      <c r="A19" s="15" t="s">
        <v>2229</v>
      </c>
      <c r="B19" s="23" t="s">
        <v>2282</v>
      </c>
      <c r="C19" s="15" t="s">
        <v>2283</v>
      </c>
      <c r="D19" s="15" t="s">
        <v>2284</v>
      </c>
      <c r="E19" s="15" t="s">
        <v>2285</v>
      </c>
      <c r="F19" s="15" t="s">
        <v>2286</v>
      </c>
      <c r="G19" s="32">
        <v>46142.375</v>
      </c>
      <c r="H19" s="19">
        <v>46148.49444444444</v>
      </c>
      <c r="I19" s="19">
        <v>46148.572916666664</v>
      </c>
      <c r="J19" s="19">
        <v>46148.57777777778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6"/>
        <v>29.11666667</v>
      </c>
      <c r="V19" s="15">
        <f t="shared" ref="V19:V22" si="8">TEXT(F19-E19,"[mm]")/60</f>
        <v>21.2</v>
      </c>
      <c r="W19" s="15">
        <f t="shared" ref="W19:W20" si="9">TEXT(H19-G19,"[mm]")/60</f>
        <v>146.8666667</v>
      </c>
      <c r="X19" s="15">
        <f>TEXT(J19-I19,"[mm]")/60</f>
        <v>0.1166666667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si="7"/>
        <v>49.325</v>
      </c>
      <c r="AE19" s="15" t="s">
        <v>35</v>
      </c>
      <c r="AF19" s="15" t="s">
        <v>34</v>
      </c>
      <c r="AG19" s="15" t="s">
        <v>35</v>
      </c>
      <c r="AH19" s="15">
        <f t="shared" si="3"/>
        <v>5</v>
      </c>
      <c r="AI19" s="15"/>
      <c r="AJ19" s="15" t="s">
        <v>61</v>
      </c>
    </row>
    <row r="20" ht="15.75" customHeight="1">
      <c r="A20" s="15" t="s">
        <v>2229</v>
      </c>
      <c r="B20" s="23" t="s">
        <v>2287</v>
      </c>
      <c r="C20" s="15" t="s">
        <v>2288</v>
      </c>
      <c r="D20" s="15" t="s">
        <v>2289</v>
      </c>
      <c r="E20" s="15" t="s">
        <v>2290</v>
      </c>
      <c r="F20" s="15" t="s">
        <v>2291</v>
      </c>
      <c r="G20" s="15" t="s">
        <v>2292</v>
      </c>
      <c r="H20" s="15" t="s">
        <v>2293</v>
      </c>
      <c r="I20" s="15" t="s">
        <v>33</v>
      </c>
      <c r="J20" s="15" t="s">
        <v>2294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6"/>
        <v>10.36666667</v>
      </c>
      <c r="V20" s="15">
        <f t="shared" si="8"/>
        <v>20.35</v>
      </c>
      <c r="W20" s="15">
        <f t="shared" si="9"/>
        <v>10.33333333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7"/>
        <v>13.68333333</v>
      </c>
      <c r="AE20" s="15" t="s">
        <v>34</v>
      </c>
      <c r="AF20" s="15" t="s">
        <v>35</v>
      </c>
      <c r="AG20" s="15" t="s">
        <v>35</v>
      </c>
      <c r="AH20" s="15">
        <f t="shared" si="3"/>
        <v>10</v>
      </c>
      <c r="AI20" s="15"/>
      <c r="AJ20" s="15" t="s">
        <v>61</v>
      </c>
    </row>
    <row r="21" ht="15.75" customHeight="1">
      <c r="A21" s="15" t="s">
        <v>2229</v>
      </c>
      <c r="B21" s="23" t="s">
        <v>2295</v>
      </c>
      <c r="C21" s="15" t="s">
        <v>2296</v>
      </c>
      <c r="D21" s="15" t="s">
        <v>2297</v>
      </c>
      <c r="E21" s="15" t="s">
        <v>2298</v>
      </c>
      <c r="F21" s="15" t="s">
        <v>2299</v>
      </c>
      <c r="G21" s="15" t="s">
        <v>2300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>
        <f t="shared" si="6"/>
        <v>18.68333333</v>
      </c>
      <c r="V21" s="15">
        <f t="shared" si="8"/>
        <v>39.53333333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15">
        <f t="shared" si="7"/>
        <v>29.10833333</v>
      </c>
      <c r="AE21" s="15" t="s">
        <v>34</v>
      </c>
      <c r="AF21" s="15" t="s">
        <v>35</v>
      </c>
      <c r="AG21" s="15" t="s">
        <v>35</v>
      </c>
      <c r="AH21" s="15">
        <f t="shared" si="3"/>
        <v>10</v>
      </c>
      <c r="AI21" s="15"/>
      <c r="AJ21" s="15" t="s">
        <v>61</v>
      </c>
    </row>
    <row r="22" ht="15.75" customHeight="1">
      <c r="A22" s="15" t="s">
        <v>2229</v>
      </c>
      <c r="B22" s="23" t="s">
        <v>2301</v>
      </c>
      <c r="C22" s="15" t="s">
        <v>2302</v>
      </c>
      <c r="D22" s="15" t="s">
        <v>2303</v>
      </c>
      <c r="E22" s="15" t="s">
        <v>2304</v>
      </c>
      <c r="F22" s="15" t="s">
        <v>2305</v>
      </c>
      <c r="G22" s="15" t="s">
        <v>2306</v>
      </c>
      <c r="H22" s="15" t="s">
        <v>33</v>
      </c>
      <c r="I22" s="15" t="s">
        <v>2307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si="6"/>
        <v>0.3333333333</v>
      </c>
      <c r="V22" s="15">
        <f t="shared" si="8"/>
        <v>84.71666667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 t="shared" si="7"/>
        <v>42.525</v>
      </c>
      <c r="AE22" s="15" t="s">
        <v>34</v>
      </c>
      <c r="AF22" s="15" t="s">
        <v>35</v>
      </c>
      <c r="AG22" s="15" t="s">
        <v>35</v>
      </c>
      <c r="AH22" s="15">
        <f t="shared" si="3"/>
        <v>10</v>
      </c>
      <c r="AI22" s="15"/>
      <c r="AJ22" s="15" t="s">
        <v>61</v>
      </c>
    </row>
    <row r="23" ht="15.75" customHeight="1">
      <c r="A23" s="15" t="s">
        <v>2229</v>
      </c>
      <c r="B23" s="23" t="s">
        <v>2308</v>
      </c>
      <c r="C23" s="15" t="s">
        <v>2309</v>
      </c>
      <c r="D23" s="15" t="s">
        <v>2310</v>
      </c>
      <c r="E23" s="15" t="s">
        <v>33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si="6"/>
        <v>0.1666666667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15">
        <f t="shared" si="7"/>
        <v>0.1666666667</v>
      </c>
      <c r="AE23" s="15" t="s">
        <v>34</v>
      </c>
      <c r="AF23" s="15" t="s">
        <v>35</v>
      </c>
      <c r="AG23" s="15" t="s">
        <v>35</v>
      </c>
      <c r="AH23" s="15">
        <f t="shared" si="3"/>
        <v>10</v>
      </c>
      <c r="AI23" s="15"/>
      <c r="AJ23" s="15" t="s">
        <v>61</v>
      </c>
    </row>
    <row r="24" ht="15.75" customHeight="1">
      <c r="A24" s="15" t="s">
        <v>2229</v>
      </c>
      <c r="B24" s="23" t="s">
        <v>2311</v>
      </c>
      <c r="C24" s="15" t="s">
        <v>2312</v>
      </c>
      <c r="D24" s="15" t="s">
        <v>2313</v>
      </c>
      <c r="E24" s="15" t="s">
        <v>2314</v>
      </c>
      <c r="F24" s="15" t="s">
        <v>2315</v>
      </c>
      <c r="G24" s="15" t="s">
        <v>2316</v>
      </c>
      <c r="H24" s="15" t="s">
        <v>2317</v>
      </c>
      <c r="I24" s="15" t="s">
        <v>2318</v>
      </c>
      <c r="J24" s="15" t="s">
        <v>2319</v>
      </c>
      <c r="K24" s="15" t="s">
        <v>2241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15">
        <f t="shared" si="6"/>
        <v>54.76666667</v>
      </c>
      <c r="V24" s="15">
        <f>TEXT(F24-E24,"[mm]")/60</f>
        <v>0.1</v>
      </c>
      <c r="W24" s="15">
        <f>TEXT(H24-G24,"[mm]")/60</f>
        <v>21.55</v>
      </c>
      <c r="X24" s="15">
        <f>TEXT(J24-I24,"[mm]")/60</f>
        <v>0.75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si="7"/>
        <v>19.29166667</v>
      </c>
      <c r="AE24" s="15" t="s">
        <v>35</v>
      </c>
      <c r="AF24" s="15" t="s">
        <v>34</v>
      </c>
      <c r="AG24" s="15" t="s">
        <v>35</v>
      </c>
      <c r="AH24" s="15">
        <f t="shared" si="3"/>
        <v>5</v>
      </c>
      <c r="AI24" s="15"/>
      <c r="AJ24" s="15" t="s">
        <v>61</v>
      </c>
    </row>
    <row r="25" ht="15.75" customHeight="1">
      <c r="A25" s="15" t="s">
        <v>2229</v>
      </c>
      <c r="B25" s="23" t="s">
        <v>2320</v>
      </c>
      <c r="C25" s="15" t="s">
        <v>1297</v>
      </c>
      <c r="D25" s="15" t="s">
        <v>2321</v>
      </c>
      <c r="E25" s="15" t="s">
        <v>33</v>
      </c>
      <c r="F25" s="15" t="s">
        <v>2322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si="6"/>
        <v>12.9</v>
      </c>
      <c r="V25" s="20" t="s">
        <v>33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si="7"/>
        <v>12.9</v>
      </c>
      <c r="AE25" s="15" t="s">
        <v>34</v>
      </c>
      <c r="AF25" s="15" t="s">
        <v>35</v>
      </c>
      <c r="AG25" s="15" t="s">
        <v>35</v>
      </c>
      <c r="AH25" s="15">
        <f t="shared" si="3"/>
        <v>10</v>
      </c>
      <c r="AI25" s="15"/>
      <c r="AJ25" s="15" t="s">
        <v>61</v>
      </c>
    </row>
    <row r="26" ht="15.75" customHeight="1">
      <c r="A26" s="15" t="s">
        <v>2229</v>
      </c>
      <c r="B26" s="23" t="s">
        <v>2323</v>
      </c>
      <c r="C26" s="15" t="s">
        <v>2324</v>
      </c>
      <c r="D26" s="15" t="s">
        <v>2325</v>
      </c>
      <c r="E26" s="15" t="s">
        <v>2326</v>
      </c>
      <c r="F26" s="15" t="s">
        <v>2327</v>
      </c>
      <c r="G26" s="15" t="s">
        <v>2328</v>
      </c>
      <c r="H26" s="15" t="s">
        <v>2329</v>
      </c>
      <c r="I26" s="15" t="s">
        <v>2330</v>
      </c>
      <c r="J26" s="15" t="s">
        <v>2331</v>
      </c>
      <c r="K26" s="15" t="s">
        <v>2332</v>
      </c>
      <c r="L26" s="15" t="s">
        <v>33</v>
      </c>
      <c r="M26" s="15" t="s">
        <v>2333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6"/>
        <v>0.1333333333</v>
      </c>
      <c r="V26" s="15">
        <f>TEXT(F26-E26,"[mm]")/60</f>
        <v>50.2</v>
      </c>
      <c r="W26" s="15">
        <f>TEXT(H26-G26,"[mm]")/60</f>
        <v>454.5166667</v>
      </c>
      <c r="X26" s="15">
        <f>TEXT(J26-I26,"[mm]")/60</f>
        <v>502.0166667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15">
        <f t="shared" si="7"/>
        <v>251.7166667</v>
      </c>
      <c r="AE26" s="15" t="s">
        <v>34</v>
      </c>
      <c r="AF26" s="15" t="s">
        <v>35</v>
      </c>
      <c r="AG26" s="15" t="s">
        <v>35</v>
      </c>
      <c r="AH26" s="15">
        <f t="shared" si="3"/>
        <v>10</v>
      </c>
      <c r="AI26" s="15"/>
      <c r="AJ26" s="15" t="s">
        <v>61</v>
      </c>
    </row>
    <row r="27" ht="15.75" customHeight="1">
      <c r="A27" s="15" t="s">
        <v>2229</v>
      </c>
      <c r="B27" s="23" t="s">
        <v>2334</v>
      </c>
      <c r="C27" s="15" t="s">
        <v>2335</v>
      </c>
      <c r="D27" s="15" t="s">
        <v>2336</v>
      </c>
      <c r="E27" s="15" t="s">
        <v>2337</v>
      </c>
      <c r="F27" s="15" t="s">
        <v>33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6"/>
        <v>0.08333333333</v>
      </c>
      <c r="V27" s="20" t="s">
        <v>33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 t="shared" si="7"/>
        <v>0.08333333333</v>
      </c>
      <c r="AE27" s="15" t="s">
        <v>34</v>
      </c>
      <c r="AF27" s="15" t="s">
        <v>35</v>
      </c>
      <c r="AG27" s="15" t="s">
        <v>35</v>
      </c>
      <c r="AH27" s="15">
        <f t="shared" si="3"/>
        <v>10</v>
      </c>
      <c r="AI27" s="15"/>
      <c r="AJ27" s="15" t="s">
        <v>61</v>
      </c>
    </row>
    <row r="28" ht="15.75" customHeight="1">
      <c r="A28" s="15" t="s">
        <v>2229</v>
      </c>
      <c r="B28" s="23" t="s">
        <v>2338</v>
      </c>
      <c r="C28" s="15" t="s">
        <v>2339</v>
      </c>
      <c r="D28" s="15" t="s">
        <v>2336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15">
        <f t="shared" si="6"/>
        <v>0.55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15">
        <f t="shared" si="7"/>
        <v>0.55</v>
      </c>
      <c r="AE28" s="15" t="s">
        <v>34</v>
      </c>
      <c r="AF28" s="15" t="s">
        <v>35</v>
      </c>
      <c r="AG28" s="15" t="s">
        <v>35</v>
      </c>
      <c r="AH28" s="15">
        <f t="shared" si="3"/>
        <v>10</v>
      </c>
      <c r="AI28" s="15"/>
      <c r="AJ28" s="15" t="s">
        <v>61</v>
      </c>
    </row>
    <row r="29" ht="15.75" customHeight="1">
      <c r="A29" s="15" t="s">
        <v>2229</v>
      </c>
      <c r="B29" s="23" t="s">
        <v>2340</v>
      </c>
      <c r="C29" s="15" t="s">
        <v>2341</v>
      </c>
      <c r="D29" s="15" t="s">
        <v>2342</v>
      </c>
      <c r="E29" s="15" t="s">
        <v>2343</v>
      </c>
      <c r="F29" s="15" t="s">
        <v>2344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 t="shared" si="6"/>
        <v>0.06666666667</v>
      </c>
      <c r="V29" s="15">
        <f t="shared" ref="V29:V30" si="10">TEXT(F29-E29,"[mm]")/60</f>
        <v>1.5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 t="shared" si="7"/>
        <v>0.7833333333</v>
      </c>
      <c r="AE29" s="15" t="s">
        <v>34</v>
      </c>
      <c r="AF29" s="15" t="s">
        <v>35</v>
      </c>
      <c r="AG29" s="15" t="s">
        <v>35</v>
      </c>
      <c r="AH29" s="15">
        <f t="shared" si="3"/>
        <v>10</v>
      </c>
      <c r="AI29" s="15"/>
      <c r="AJ29" s="15" t="s">
        <v>61</v>
      </c>
    </row>
    <row r="30" ht="15.75" customHeight="1">
      <c r="A30" s="15" t="s">
        <v>2229</v>
      </c>
      <c r="B30" s="23" t="s">
        <v>2345</v>
      </c>
      <c r="C30" s="15" t="s">
        <v>2346</v>
      </c>
      <c r="D30" s="15" t="s">
        <v>2347</v>
      </c>
      <c r="E30" s="15" t="s">
        <v>2348</v>
      </c>
      <c r="F30" s="15" t="s">
        <v>2349</v>
      </c>
      <c r="G30" s="15" t="s">
        <v>2350</v>
      </c>
      <c r="H30" s="15" t="s">
        <v>33</v>
      </c>
      <c r="I30" s="15" t="s">
        <v>2351</v>
      </c>
      <c r="J30" s="15" t="s">
        <v>33</v>
      </c>
      <c r="K30" s="15" t="s">
        <v>2352</v>
      </c>
      <c r="L30" s="15" t="s">
        <v>33</v>
      </c>
      <c r="M30" s="15" t="s">
        <v>2353</v>
      </c>
      <c r="N30" s="15" t="s">
        <v>33</v>
      </c>
      <c r="O30" s="15" t="s">
        <v>2354</v>
      </c>
      <c r="P30" s="15" t="s">
        <v>33</v>
      </c>
      <c r="Q30" s="15" t="s">
        <v>2355</v>
      </c>
      <c r="R30" s="15" t="s">
        <v>33</v>
      </c>
      <c r="S30" s="15" t="s">
        <v>2356</v>
      </c>
      <c r="T30" s="15" t="s">
        <v>33</v>
      </c>
      <c r="U30" s="15">
        <f t="shared" si="6"/>
        <v>16.78333333</v>
      </c>
      <c r="V30" s="15">
        <f t="shared" si="10"/>
        <v>93.63333333</v>
      </c>
      <c r="W30" s="20" t="s">
        <v>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 t="shared" si="7"/>
        <v>55.20833333</v>
      </c>
      <c r="AE30" s="15" t="s">
        <v>34</v>
      </c>
      <c r="AF30" s="15" t="s">
        <v>35</v>
      </c>
      <c r="AG30" s="15" t="s">
        <v>35</v>
      </c>
      <c r="AH30" s="15">
        <f t="shared" si="3"/>
        <v>10</v>
      </c>
      <c r="AI30" s="15"/>
      <c r="AJ30" s="15" t="s">
        <v>61</v>
      </c>
    </row>
    <row r="31" ht="15.75" customHeight="1">
      <c r="A31" s="15" t="s">
        <v>2229</v>
      </c>
      <c r="B31" s="23" t="s">
        <v>2357</v>
      </c>
      <c r="C31" s="15" t="s">
        <v>2358</v>
      </c>
      <c r="D31" s="15" t="s">
        <v>2359</v>
      </c>
      <c r="E31" s="15" t="s">
        <v>33</v>
      </c>
      <c r="F31" s="15" t="s">
        <v>33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6"/>
        <v>0.2166666667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si="7"/>
        <v>0.2166666667</v>
      </c>
      <c r="AE31" s="15" t="s">
        <v>34</v>
      </c>
      <c r="AF31" s="15" t="s">
        <v>35</v>
      </c>
      <c r="AG31" s="15" t="s">
        <v>35</v>
      </c>
      <c r="AH31" s="15">
        <f t="shared" si="3"/>
        <v>10</v>
      </c>
      <c r="AI31" s="15"/>
      <c r="AJ31" s="15" t="s">
        <v>61</v>
      </c>
    </row>
    <row r="32" ht="15.75" customHeight="1">
      <c r="A32" s="15" t="s">
        <v>2229</v>
      </c>
      <c r="B32" s="23" t="s">
        <v>2360</v>
      </c>
      <c r="C32" s="15" t="s">
        <v>2361</v>
      </c>
      <c r="D32" s="15" t="s">
        <v>2362</v>
      </c>
      <c r="E32" s="15" t="s">
        <v>33</v>
      </c>
      <c r="F32" s="15" t="s">
        <v>33</v>
      </c>
      <c r="G32" s="15" t="s">
        <v>33</v>
      </c>
      <c r="H32" s="15" t="s">
        <v>33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6"/>
        <v>19.5</v>
      </c>
      <c r="V32" s="20" t="s">
        <v>33</v>
      </c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7"/>
        <v>19.5</v>
      </c>
      <c r="AE32" s="15" t="s">
        <v>34</v>
      </c>
      <c r="AF32" s="15" t="s">
        <v>35</v>
      </c>
      <c r="AG32" s="15" t="s">
        <v>35</v>
      </c>
      <c r="AH32" s="15">
        <f t="shared" si="3"/>
        <v>10</v>
      </c>
      <c r="AI32" s="15"/>
      <c r="AJ32" s="15" t="s">
        <v>61</v>
      </c>
    </row>
    <row r="33" ht="15.75" customHeight="1">
      <c r="A33" s="15" t="s">
        <v>2229</v>
      </c>
      <c r="B33" s="23" t="s">
        <v>2363</v>
      </c>
      <c r="C33" s="15" t="s">
        <v>2364</v>
      </c>
      <c r="D33" s="15" t="s">
        <v>2365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6"/>
        <v>55.03333333</v>
      </c>
      <c r="V33" s="20" t="s">
        <v>33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si="7"/>
        <v>55.03333333</v>
      </c>
      <c r="AE33" s="15" t="s">
        <v>35</v>
      </c>
      <c r="AF33" s="15" t="s">
        <v>34</v>
      </c>
      <c r="AG33" s="15" t="s">
        <v>35</v>
      </c>
      <c r="AH33" s="15">
        <f t="shared" si="3"/>
        <v>5</v>
      </c>
      <c r="AI33" s="15"/>
      <c r="AJ33" s="15" t="s">
        <v>61</v>
      </c>
    </row>
    <row r="34" ht="15.75" customHeight="1">
      <c r="A34" s="15" t="s">
        <v>2229</v>
      </c>
      <c r="B34" s="23" t="s">
        <v>2366</v>
      </c>
      <c r="C34" s="15" t="s">
        <v>2367</v>
      </c>
      <c r="D34" s="15" t="s">
        <v>33</v>
      </c>
      <c r="E34" s="15" t="s">
        <v>33</v>
      </c>
      <c r="F34" s="15" t="s">
        <v>33</v>
      </c>
      <c r="G34" s="15" t="s">
        <v>33</v>
      </c>
      <c r="H34" s="15" t="s">
        <v>33</v>
      </c>
      <c r="I34" s="15" t="s">
        <v>33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20" t="s">
        <v>33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20" t="s">
        <v>33</v>
      </c>
      <c r="AE34" s="15" t="s">
        <v>35</v>
      </c>
      <c r="AF34" s="15" t="s">
        <v>35</v>
      </c>
      <c r="AG34" s="15" t="s">
        <v>35</v>
      </c>
      <c r="AH34" s="15">
        <f t="shared" si="3"/>
        <v>-15</v>
      </c>
      <c r="AI34" s="15"/>
      <c r="AJ34" s="15" t="s">
        <v>61</v>
      </c>
    </row>
    <row r="35" ht="15.75" customHeight="1">
      <c r="A35" s="15" t="s">
        <v>2229</v>
      </c>
      <c r="B35" s="23" t="s">
        <v>2368</v>
      </c>
      <c r="C35" s="15" t="s">
        <v>2369</v>
      </c>
      <c r="D35" s="15" t="s">
        <v>2370</v>
      </c>
      <c r="E35" s="15" t="s">
        <v>2371</v>
      </c>
      <c r="F35" s="15" t="s">
        <v>2372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15">
        <f t="shared" ref="U35:U37" si="11">TEXT(D35-C35,"[mm]")/60</f>
        <v>16.48333333</v>
      </c>
      <c r="V35" s="15">
        <f t="shared" ref="V35:V37" si="12">TEXT(F35-E35,"[mm]")/60</f>
        <v>17.16666667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15">
        <f t="shared" ref="AD35:AD37" si="13">AVERAGE(U35:AC35)</f>
        <v>16.825</v>
      </c>
      <c r="AE35" s="15" t="s">
        <v>34</v>
      </c>
      <c r="AF35" s="15" t="s">
        <v>35</v>
      </c>
      <c r="AG35" s="15" t="s">
        <v>35</v>
      </c>
      <c r="AH35" s="15">
        <f t="shared" si="3"/>
        <v>10</v>
      </c>
      <c r="AI35" s="15"/>
      <c r="AJ35" s="15" t="s">
        <v>61</v>
      </c>
    </row>
    <row r="36" ht="15.75" customHeight="1">
      <c r="A36" s="15" t="s">
        <v>2229</v>
      </c>
      <c r="B36" s="23" t="s">
        <v>2373</v>
      </c>
      <c r="C36" s="15" t="s">
        <v>2374</v>
      </c>
      <c r="D36" s="15" t="s">
        <v>2375</v>
      </c>
      <c r="E36" s="15" t="s">
        <v>2376</v>
      </c>
      <c r="F36" s="15" t="s">
        <v>2377</v>
      </c>
      <c r="G36" s="15" t="s">
        <v>2378</v>
      </c>
      <c r="H36" s="15" t="s">
        <v>33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si="11"/>
        <v>0.2833333333</v>
      </c>
      <c r="V36" s="15">
        <f t="shared" si="12"/>
        <v>48.75</v>
      </c>
      <c r="W36" s="20" t="s">
        <v>33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si="13"/>
        <v>24.51666667</v>
      </c>
      <c r="AE36" s="15" t="s">
        <v>34</v>
      </c>
      <c r="AF36" s="15" t="s">
        <v>35</v>
      </c>
      <c r="AG36" s="15" t="s">
        <v>35</v>
      </c>
      <c r="AH36" s="15">
        <f t="shared" si="3"/>
        <v>10</v>
      </c>
      <c r="AI36" s="15"/>
      <c r="AJ36" s="15" t="s">
        <v>61</v>
      </c>
    </row>
    <row r="37" ht="15.75" customHeight="1">
      <c r="A37" s="15" t="s">
        <v>2229</v>
      </c>
      <c r="B37" s="23" t="s">
        <v>2379</v>
      </c>
      <c r="C37" s="15" t="s">
        <v>2380</v>
      </c>
      <c r="D37" s="15" t="s">
        <v>2381</v>
      </c>
      <c r="E37" s="15" t="s">
        <v>2382</v>
      </c>
      <c r="F37" s="15" t="s">
        <v>2383</v>
      </c>
      <c r="G37" s="15" t="s">
        <v>33</v>
      </c>
      <c r="H37" s="15" t="s">
        <v>2384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 t="shared" si="11"/>
        <v>0.1</v>
      </c>
      <c r="V37" s="15">
        <f t="shared" si="12"/>
        <v>15.8</v>
      </c>
      <c r="W37" s="20" t="s">
        <v>33</v>
      </c>
      <c r="X37" s="20" t="s">
        <v>33</v>
      </c>
      <c r="Y37" s="20" t="s">
        <v>33</v>
      </c>
      <c r="Z37" s="20" t="s">
        <v>33</v>
      </c>
      <c r="AA37" s="20" t="s">
        <v>33</v>
      </c>
      <c r="AB37" s="20" t="s">
        <v>33</v>
      </c>
      <c r="AC37" s="20" t="s">
        <v>33</v>
      </c>
      <c r="AD37" s="15">
        <f t="shared" si="13"/>
        <v>7.95</v>
      </c>
      <c r="AE37" s="15" t="s">
        <v>34</v>
      </c>
      <c r="AF37" s="15" t="s">
        <v>35</v>
      </c>
      <c r="AG37" s="15" t="s">
        <v>35</v>
      </c>
      <c r="AH37" s="15">
        <f t="shared" si="3"/>
        <v>10</v>
      </c>
      <c r="AI37" s="15"/>
      <c r="AJ37" s="15" t="s">
        <v>61</v>
      </c>
    </row>
    <row r="38" ht="15.75" customHeight="1">
      <c r="A38" s="15" t="s">
        <v>2229</v>
      </c>
      <c r="B38" s="23" t="s">
        <v>2385</v>
      </c>
      <c r="C38" s="15" t="s">
        <v>2386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20" t="s">
        <v>33</v>
      </c>
      <c r="AE38" s="15" t="s">
        <v>35</v>
      </c>
      <c r="AF38" s="15" t="s">
        <v>35</v>
      </c>
      <c r="AG38" s="15" t="s">
        <v>35</v>
      </c>
      <c r="AH38" s="15">
        <f t="shared" si="3"/>
        <v>-15</v>
      </c>
      <c r="AI38" s="15"/>
      <c r="AJ38" s="15" t="s">
        <v>61</v>
      </c>
    </row>
    <row r="39" ht="15.75" customHeight="1">
      <c r="A39" s="15" t="s">
        <v>2229</v>
      </c>
      <c r="B39" s="23" t="s">
        <v>2387</v>
      </c>
      <c r="C39" s="15" t="s">
        <v>2388</v>
      </c>
      <c r="D39" s="15" t="s">
        <v>2389</v>
      </c>
      <c r="E39" s="15" t="s">
        <v>2390</v>
      </c>
      <c r="F39" s="15" t="s">
        <v>2391</v>
      </c>
      <c r="G39" s="15" t="s">
        <v>2392</v>
      </c>
      <c r="H39" s="15" t="s">
        <v>2393</v>
      </c>
      <c r="I39" s="15" t="s">
        <v>2394</v>
      </c>
      <c r="J39" s="15" t="s">
        <v>2395</v>
      </c>
      <c r="K39" s="15" t="s">
        <v>2396</v>
      </c>
      <c r="L39" s="15" t="s">
        <v>33</v>
      </c>
      <c r="M39" s="15" t="s">
        <v>2397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>TEXT(D39-C39,"[mm]")/60</f>
        <v>14.83333333</v>
      </c>
      <c r="V39" s="15">
        <f>TEXT(F39-E39,"[mm]")/60</f>
        <v>0.1166666667</v>
      </c>
      <c r="W39" s="15">
        <f>TEXT(H39-G39,"[mm]")/60</f>
        <v>18.7</v>
      </c>
      <c r="X39" s="15">
        <f>TEXT(J39-I39,"[mm]")/60</f>
        <v>51.38333333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15">
        <f>AVERAGE(U39:AC39)</f>
        <v>21.25833333</v>
      </c>
      <c r="AE39" s="15" t="s">
        <v>34</v>
      </c>
      <c r="AF39" s="15" t="s">
        <v>35</v>
      </c>
      <c r="AG39" s="15" t="s">
        <v>35</v>
      </c>
      <c r="AH39" s="15">
        <f t="shared" si="3"/>
        <v>10</v>
      </c>
      <c r="AI39" s="15"/>
      <c r="AJ39" s="15" t="s">
        <v>61</v>
      </c>
    </row>
    <row r="40" ht="15.75" customHeight="1">
      <c r="A40" s="15" t="s">
        <v>2229</v>
      </c>
      <c r="B40" s="23" t="s">
        <v>2398</v>
      </c>
      <c r="C40" s="15" t="s">
        <v>2399</v>
      </c>
      <c r="D40" s="15" t="s">
        <v>33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20" t="s">
        <v>33</v>
      </c>
      <c r="V40" s="20" t="s">
        <v>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20" t="s">
        <v>33</v>
      </c>
      <c r="AE40" s="15" t="s">
        <v>35</v>
      </c>
      <c r="AF40" s="15" t="s">
        <v>35</v>
      </c>
      <c r="AG40" s="15" t="s">
        <v>35</v>
      </c>
      <c r="AH40" s="15">
        <f t="shared" si="3"/>
        <v>-15</v>
      </c>
      <c r="AI40" s="15"/>
      <c r="AJ40" s="15" t="s">
        <v>61</v>
      </c>
    </row>
    <row r="41" ht="15.75" customHeight="1">
      <c r="A41" s="15" t="s">
        <v>2229</v>
      </c>
      <c r="B41" s="23" t="s">
        <v>2400</v>
      </c>
      <c r="C41" s="15" t="s">
        <v>2401</v>
      </c>
      <c r="D41" s="15" t="s">
        <v>2402</v>
      </c>
      <c r="E41" s="15" t="s">
        <v>2403</v>
      </c>
      <c r="F41" s="15" t="s">
        <v>33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ref="U41:U45" si="14">TEXT(D41-C41,"[mm]")/60</f>
        <v>0.25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15">
        <f t="shared" ref="AD41:AD45" si="15">AVERAGE(U41:AC41)</f>
        <v>0.25</v>
      </c>
      <c r="AE41" s="15" t="s">
        <v>34</v>
      </c>
      <c r="AF41" s="15" t="s">
        <v>35</v>
      </c>
      <c r="AG41" s="15" t="s">
        <v>35</v>
      </c>
      <c r="AH41" s="15">
        <f t="shared" si="3"/>
        <v>10</v>
      </c>
      <c r="AI41" s="15"/>
      <c r="AJ41" s="15" t="s">
        <v>61</v>
      </c>
    </row>
    <row r="42" ht="15.75" customHeight="1">
      <c r="A42" s="15" t="s">
        <v>2229</v>
      </c>
      <c r="B42" s="23" t="s">
        <v>2404</v>
      </c>
      <c r="C42" s="15" t="s">
        <v>2405</v>
      </c>
      <c r="D42" s="15" t="s">
        <v>2406</v>
      </c>
      <c r="E42" s="19">
        <v>46135.80138888889</v>
      </c>
      <c r="F42" s="19">
        <v>46136.40694444445</v>
      </c>
      <c r="G42" s="15" t="s">
        <v>2407</v>
      </c>
      <c r="H42" s="15" t="s">
        <v>2408</v>
      </c>
      <c r="I42" s="15" t="s">
        <v>2409</v>
      </c>
      <c r="J42" s="15" t="s">
        <v>2410</v>
      </c>
      <c r="K42" s="15" t="s">
        <v>33</v>
      </c>
      <c r="L42" s="15" t="s">
        <v>2411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 t="shared" si="14"/>
        <v>0.1333333333</v>
      </c>
      <c r="V42" s="15">
        <f t="shared" ref="V42:V45" si="16">TEXT(F42-E42,"[mm]")/60</f>
        <v>14.53333333</v>
      </c>
      <c r="W42" s="15">
        <f>TEXT(H42-G42,"[mm]")/60</f>
        <v>0.75</v>
      </c>
      <c r="X42" s="15">
        <f>TEXT(J42-I42,"[mm]")/60</f>
        <v>31.71666667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 t="shared" si="15"/>
        <v>11.78333333</v>
      </c>
      <c r="AE42" s="15" t="s">
        <v>34</v>
      </c>
      <c r="AF42" s="15" t="s">
        <v>35</v>
      </c>
      <c r="AG42" s="15" t="s">
        <v>35</v>
      </c>
      <c r="AH42" s="15">
        <f t="shared" si="3"/>
        <v>10</v>
      </c>
      <c r="AI42" s="15"/>
      <c r="AJ42" s="15" t="s">
        <v>61</v>
      </c>
    </row>
    <row r="43" ht="15.75" customHeight="1">
      <c r="A43" s="15" t="s">
        <v>2229</v>
      </c>
      <c r="B43" s="23" t="s">
        <v>2412</v>
      </c>
      <c r="C43" s="15" t="s">
        <v>2413</v>
      </c>
      <c r="D43" s="15" t="s">
        <v>2414</v>
      </c>
      <c r="E43" s="15" t="s">
        <v>2415</v>
      </c>
      <c r="F43" s="15" t="s">
        <v>2416</v>
      </c>
      <c r="G43" s="15" t="s">
        <v>2417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si="14"/>
        <v>0.03333333333</v>
      </c>
      <c r="V43" s="15">
        <f t="shared" si="16"/>
        <v>0.03333333333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15">
        <f t="shared" si="15"/>
        <v>0.03333333333</v>
      </c>
      <c r="AE43" s="15" t="s">
        <v>34</v>
      </c>
      <c r="AF43" s="15" t="s">
        <v>35</v>
      </c>
      <c r="AG43" s="15" t="s">
        <v>35</v>
      </c>
      <c r="AH43" s="15">
        <f t="shared" si="3"/>
        <v>10</v>
      </c>
      <c r="AI43" s="15"/>
      <c r="AJ43" s="15" t="s">
        <v>61</v>
      </c>
    </row>
    <row r="44" ht="15.75" customHeight="1">
      <c r="A44" s="15" t="s">
        <v>2229</v>
      </c>
      <c r="B44" s="23" t="s">
        <v>2418</v>
      </c>
      <c r="C44" s="15" t="s">
        <v>1650</v>
      </c>
      <c r="D44" s="15" t="s">
        <v>2419</v>
      </c>
      <c r="E44" s="15" t="s">
        <v>2420</v>
      </c>
      <c r="F44" s="15" t="s">
        <v>298</v>
      </c>
      <c r="G44" s="15" t="s">
        <v>2421</v>
      </c>
      <c r="H44" s="15" t="s">
        <v>2422</v>
      </c>
      <c r="I44" s="15" t="s">
        <v>2423</v>
      </c>
      <c r="J44" s="15" t="s">
        <v>2424</v>
      </c>
      <c r="K44" s="15" t="s">
        <v>2425</v>
      </c>
      <c r="L44" s="15" t="s">
        <v>2426</v>
      </c>
      <c r="M44" s="15" t="s">
        <v>2427</v>
      </c>
      <c r="N44" s="15" t="s">
        <v>2428</v>
      </c>
      <c r="O44" s="15" t="s">
        <v>2429</v>
      </c>
      <c r="P44" s="15" t="s">
        <v>2430</v>
      </c>
      <c r="Q44" s="15" t="s">
        <v>2431</v>
      </c>
      <c r="R44" s="15" t="s">
        <v>33</v>
      </c>
      <c r="S44" s="15" t="s">
        <v>2432</v>
      </c>
      <c r="T44" s="15" t="s">
        <v>33</v>
      </c>
      <c r="U44" s="15">
        <f t="shared" si="14"/>
        <v>35.11666667</v>
      </c>
      <c r="V44" s="15">
        <f t="shared" si="16"/>
        <v>37.7</v>
      </c>
      <c r="W44" s="15">
        <f t="shared" ref="W44:W45" si="17">TEXT(H44-G44,"[mm]")/60</f>
        <v>76.93333333</v>
      </c>
      <c r="X44" s="15">
        <f t="shared" ref="X44:X45" si="18">TEXT(J44-I44,"[mm]")/60</f>
        <v>101.9666667</v>
      </c>
      <c r="Y44" s="15">
        <f t="shared" ref="Y44:Y45" si="19">TEXT(L44-K44,"[mm]")/60</f>
        <v>309.9</v>
      </c>
      <c r="Z44" s="15">
        <f>TEXT(N44-M44,"[mm]")/60</f>
        <v>343.2333333</v>
      </c>
      <c r="AA44" s="15">
        <f>TEXT(P44-O44,"[mm]")/60</f>
        <v>313.2166667</v>
      </c>
      <c r="AB44" s="20" t="s">
        <v>33</v>
      </c>
      <c r="AC44" s="20" t="s">
        <v>33</v>
      </c>
      <c r="AD44" s="15">
        <f t="shared" si="15"/>
        <v>174.0095238</v>
      </c>
      <c r="AE44" s="15" t="s">
        <v>35</v>
      </c>
      <c r="AF44" s="15" t="s">
        <v>34</v>
      </c>
      <c r="AG44" s="15" t="s">
        <v>35</v>
      </c>
      <c r="AH44" s="15">
        <f t="shared" si="3"/>
        <v>5</v>
      </c>
      <c r="AI44" s="15"/>
      <c r="AJ44" s="15" t="s">
        <v>61</v>
      </c>
    </row>
    <row r="45" ht="15.75" customHeight="1">
      <c r="A45" s="15" t="s">
        <v>2229</v>
      </c>
      <c r="B45" s="23" t="s">
        <v>2433</v>
      </c>
      <c r="C45" s="15" t="s">
        <v>128</v>
      </c>
      <c r="D45" s="15" t="s">
        <v>129</v>
      </c>
      <c r="E45" s="15" t="s">
        <v>2434</v>
      </c>
      <c r="F45" s="15" t="s">
        <v>2435</v>
      </c>
      <c r="G45" s="19">
        <v>46136.48819444444</v>
      </c>
      <c r="H45" s="19">
        <v>46136.645833333336</v>
      </c>
      <c r="I45" s="15" t="s">
        <v>2436</v>
      </c>
      <c r="J45" s="15" t="s">
        <v>2266</v>
      </c>
      <c r="K45" s="15" t="s">
        <v>2437</v>
      </c>
      <c r="L45" s="15" t="s">
        <v>2438</v>
      </c>
      <c r="M45" s="15" t="s">
        <v>33</v>
      </c>
      <c r="N45" s="15" t="s">
        <v>2439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15">
        <f t="shared" si="14"/>
        <v>0.06666666667</v>
      </c>
      <c r="V45" s="15">
        <f t="shared" si="16"/>
        <v>3.516666667</v>
      </c>
      <c r="W45" s="15">
        <f t="shared" si="17"/>
        <v>3.783333333</v>
      </c>
      <c r="X45" s="15">
        <f t="shared" si="18"/>
        <v>75.63333333</v>
      </c>
      <c r="Y45" s="15">
        <f t="shared" si="19"/>
        <v>19.43333333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15">
        <f t="shared" si="15"/>
        <v>20.48666667</v>
      </c>
      <c r="AE45" s="15" t="s">
        <v>34</v>
      </c>
      <c r="AF45" s="15" t="s">
        <v>35</v>
      </c>
      <c r="AG45" s="15" t="s">
        <v>35</v>
      </c>
      <c r="AH45" s="15">
        <f t="shared" si="3"/>
        <v>10</v>
      </c>
      <c r="AI45" s="15"/>
      <c r="AJ45" s="15" t="s">
        <v>61</v>
      </c>
    </row>
    <row r="46" ht="15.75" customHeight="1">
      <c r="A46" s="15" t="s">
        <v>2229</v>
      </c>
      <c r="B46" s="23" t="s">
        <v>2440</v>
      </c>
      <c r="C46" s="15" t="s">
        <v>1734</v>
      </c>
      <c r="D46" s="15" t="s">
        <v>33</v>
      </c>
      <c r="E46" s="15" t="s">
        <v>33</v>
      </c>
      <c r="F46" s="15" t="s">
        <v>33</v>
      </c>
      <c r="G46" s="15" t="s">
        <v>33</v>
      </c>
      <c r="H46" s="15" t="s">
        <v>33</v>
      </c>
      <c r="I46" s="15" t="s">
        <v>33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20" t="s">
        <v>33</v>
      </c>
      <c r="V46" s="20" t="s">
        <v>33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20" t="s">
        <v>33</v>
      </c>
      <c r="AE46" s="15" t="s">
        <v>35</v>
      </c>
      <c r="AF46" s="15" t="s">
        <v>35</v>
      </c>
      <c r="AG46" s="15" t="s">
        <v>35</v>
      </c>
      <c r="AH46" s="15">
        <f t="shared" si="3"/>
        <v>-15</v>
      </c>
      <c r="AI46" s="15"/>
      <c r="AJ46" s="15" t="s">
        <v>61</v>
      </c>
    </row>
    <row r="47" ht="15.75" customHeight="1">
      <c r="A47" s="15" t="s">
        <v>2229</v>
      </c>
      <c r="B47" s="23" t="s">
        <v>2441</v>
      </c>
      <c r="C47" s="15" t="s">
        <v>2442</v>
      </c>
      <c r="D47" s="15" t="s">
        <v>731</v>
      </c>
      <c r="E47" s="15" t="s">
        <v>33</v>
      </c>
      <c r="F47" s="15" t="s">
        <v>2443</v>
      </c>
      <c r="G47" s="15" t="s">
        <v>33</v>
      </c>
      <c r="H47" s="15" t="s">
        <v>33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ref="U47:U50" si="20">TEXT(D47-C47,"[mm]")/60</f>
        <v>0.1</v>
      </c>
      <c r="V47" s="20" t="s">
        <v>33</v>
      </c>
      <c r="W47" s="20" t="s">
        <v>33</v>
      </c>
      <c r="X47" s="20" t="s">
        <v>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15">
        <f t="shared" ref="AD47:AD50" si="21">AVERAGE(U47:AC47)</f>
        <v>0.1</v>
      </c>
      <c r="AE47" s="15" t="s">
        <v>34</v>
      </c>
      <c r="AF47" s="15" t="s">
        <v>35</v>
      </c>
      <c r="AG47" s="15" t="s">
        <v>35</v>
      </c>
      <c r="AH47" s="15">
        <f t="shared" si="3"/>
        <v>10</v>
      </c>
      <c r="AI47" s="15"/>
      <c r="AJ47" s="15" t="s">
        <v>61</v>
      </c>
    </row>
    <row r="48" ht="15.75" customHeight="1">
      <c r="A48" s="15" t="s">
        <v>2229</v>
      </c>
      <c r="B48" s="23" t="s">
        <v>2444</v>
      </c>
      <c r="C48" s="15" t="s">
        <v>2445</v>
      </c>
      <c r="D48" s="15" t="s">
        <v>2194</v>
      </c>
      <c r="E48" s="15" t="s">
        <v>2446</v>
      </c>
      <c r="F48" s="15" t="s">
        <v>2447</v>
      </c>
      <c r="G48" s="15" t="s">
        <v>2448</v>
      </c>
      <c r="H48" s="15" t="s">
        <v>2449</v>
      </c>
      <c r="I48" s="15" t="s">
        <v>2450</v>
      </c>
      <c r="J48" s="15" t="s">
        <v>2451</v>
      </c>
      <c r="K48" s="15" t="s">
        <v>2452</v>
      </c>
      <c r="L48" s="15" t="s">
        <v>108</v>
      </c>
      <c r="M48" s="15" t="s">
        <v>33</v>
      </c>
      <c r="N48" s="15" t="s">
        <v>2453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20"/>
        <v>0.06666666667</v>
      </c>
      <c r="V48" s="15">
        <f>TEXT(F48-E48,"[mm]")/60</f>
        <v>0.1</v>
      </c>
      <c r="W48" s="15">
        <f>TEXT(H48-G48,"[mm]")/60</f>
        <v>58.65</v>
      </c>
      <c r="X48" s="15">
        <f>TEXT(J48-I48,"[mm]")/60</f>
        <v>12.35</v>
      </c>
      <c r="Y48" s="15">
        <f>TEXT(L48-K48,"[mm]")/60</f>
        <v>38.5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15">
        <f t="shared" si="21"/>
        <v>21.93333333</v>
      </c>
      <c r="AE48" s="15" t="s">
        <v>34</v>
      </c>
      <c r="AF48" s="15" t="s">
        <v>35</v>
      </c>
      <c r="AG48" s="15" t="s">
        <v>35</v>
      </c>
      <c r="AH48" s="15">
        <f t="shared" si="3"/>
        <v>10</v>
      </c>
      <c r="AI48" s="15"/>
      <c r="AJ48" s="15" t="s">
        <v>61</v>
      </c>
    </row>
    <row r="49" ht="15.75" customHeight="1">
      <c r="A49" s="15" t="s">
        <v>2229</v>
      </c>
      <c r="B49" s="23" t="s">
        <v>2454</v>
      </c>
      <c r="C49" s="15" t="s">
        <v>2455</v>
      </c>
      <c r="D49" s="15" t="s">
        <v>2456</v>
      </c>
      <c r="E49" s="15" t="s">
        <v>2457</v>
      </c>
      <c r="F49" s="15" t="s">
        <v>33</v>
      </c>
      <c r="G49" s="15" t="s">
        <v>2458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20"/>
        <v>0.06666666667</v>
      </c>
      <c r="V49" s="20" t="s">
        <v>33</v>
      </c>
      <c r="W49" s="20" t="s">
        <v>33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si="21"/>
        <v>0.06666666667</v>
      </c>
      <c r="AE49" s="15" t="s">
        <v>34</v>
      </c>
      <c r="AF49" s="15" t="s">
        <v>35</v>
      </c>
      <c r="AG49" s="15" t="s">
        <v>35</v>
      </c>
      <c r="AH49" s="15">
        <f t="shared" si="3"/>
        <v>10</v>
      </c>
      <c r="AI49" s="15"/>
      <c r="AJ49" s="15" t="s">
        <v>61</v>
      </c>
    </row>
    <row r="50" ht="15.75" customHeight="1">
      <c r="A50" s="15" t="s">
        <v>2229</v>
      </c>
      <c r="B50" s="23" t="s">
        <v>2459</v>
      </c>
      <c r="C50" s="15" t="s">
        <v>2460</v>
      </c>
      <c r="D50" s="15" t="s">
        <v>2461</v>
      </c>
      <c r="E50" s="15" t="s">
        <v>2462</v>
      </c>
      <c r="F50" s="15" t="s">
        <v>2463</v>
      </c>
      <c r="G50" s="15" t="s">
        <v>2464</v>
      </c>
      <c r="H50" s="15" t="s">
        <v>2465</v>
      </c>
      <c r="I50" s="15" t="s">
        <v>2466</v>
      </c>
      <c r="J50" s="15" t="s">
        <v>33</v>
      </c>
      <c r="K50" s="15" t="s">
        <v>2467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15">
        <f t="shared" si="20"/>
        <v>97.36666667</v>
      </c>
      <c r="V50" s="15">
        <f>TEXT(F50-E50,"[mm]")/60</f>
        <v>114.2833333</v>
      </c>
      <c r="W50" s="15">
        <f>TEXT(H50-G50,"[mm]")/60</f>
        <v>209.4333333</v>
      </c>
      <c r="X50" s="20" t="s">
        <v>33</v>
      </c>
      <c r="Y50" s="20" t="s">
        <v>33</v>
      </c>
      <c r="Z50" s="20" t="s">
        <v>33</v>
      </c>
      <c r="AA50" s="20" t="s">
        <v>33</v>
      </c>
      <c r="AB50" s="20" t="s">
        <v>33</v>
      </c>
      <c r="AC50" s="20" t="s">
        <v>33</v>
      </c>
      <c r="AD50" s="15">
        <f t="shared" si="21"/>
        <v>140.3611111</v>
      </c>
      <c r="AE50" s="15" t="s">
        <v>35</v>
      </c>
      <c r="AF50" s="15" t="s">
        <v>35</v>
      </c>
      <c r="AG50" s="15" t="s">
        <v>34</v>
      </c>
      <c r="AH50" s="15">
        <f t="shared" si="3"/>
        <v>-10</v>
      </c>
      <c r="AI50" s="15"/>
      <c r="AJ50" s="15" t="s">
        <v>61</v>
      </c>
    </row>
    <row r="51" ht="15.75" customHeight="1">
      <c r="A51" s="15" t="s">
        <v>2229</v>
      </c>
      <c r="B51" s="23" t="s">
        <v>2468</v>
      </c>
      <c r="C51" s="15" t="s">
        <v>2469</v>
      </c>
      <c r="D51" s="15" t="s">
        <v>33</v>
      </c>
      <c r="E51" s="15" t="s">
        <v>2470</v>
      </c>
      <c r="F51" s="15" t="s">
        <v>33</v>
      </c>
      <c r="G51" s="15" t="s">
        <v>33</v>
      </c>
      <c r="H51" s="15" t="s">
        <v>33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20" t="s">
        <v>33</v>
      </c>
      <c r="V51" s="20" t="s">
        <v>33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20" t="s">
        <v>33</v>
      </c>
      <c r="AE51" s="15" t="s">
        <v>35</v>
      </c>
      <c r="AF51" s="15" t="s">
        <v>35</v>
      </c>
      <c r="AG51" s="15" t="s">
        <v>35</v>
      </c>
      <c r="AH51" s="15">
        <f t="shared" si="3"/>
        <v>-15</v>
      </c>
      <c r="AI51" s="15"/>
      <c r="AJ51" s="15" t="s">
        <v>61</v>
      </c>
    </row>
    <row r="52" ht="15.75" customHeight="1">
      <c r="A52" s="15" t="s">
        <v>2229</v>
      </c>
      <c r="B52" s="23" t="s">
        <v>2471</v>
      </c>
      <c r="C52" s="15" t="s">
        <v>2472</v>
      </c>
      <c r="D52" s="15" t="s">
        <v>33</v>
      </c>
      <c r="E52" s="15" t="s">
        <v>33</v>
      </c>
      <c r="F52" s="15" t="s">
        <v>33</v>
      </c>
      <c r="G52" s="15" t="s">
        <v>33</v>
      </c>
      <c r="H52" s="15" t="s">
        <v>33</v>
      </c>
      <c r="I52" s="15" t="s">
        <v>33</v>
      </c>
      <c r="J52" s="15" t="s">
        <v>33</v>
      </c>
      <c r="K52" s="15" t="s">
        <v>33</v>
      </c>
      <c r="L52" s="15" t="s">
        <v>33</v>
      </c>
      <c r="M52" s="15" t="s">
        <v>33</v>
      </c>
      <c r="N52" s="15" t="s">
        <v>33</v>
      </c>
      <c r="O52" s="15" t="s">
        <v>33</v>
      </c>
      <c r="P52" s="15" t="s">
        <v>33</v>
      </c>
      <c r="Q52" s="15" t="s">
        <v>33</v>
      </c>
      <c r="R52" s="15" t="s">
        <v>33</v>
      </c>
      <c r="S52" s="15" t="s">
        <v>33</v>
      </c>
      <c r="T52" s="15" t="s">
        <v>33</v>
      </c>
      <c r="U52" s="20" t="s">
        <v>33</v>
      </c>
      <c r="V52" s="20" t="s">
        <v>33</v>
      </c>
      <c r="W52" s="20" t="s">
        <v>33</v>
      </c>
      <c r="X52" s="20" t="s">
        <v>33</v>
      </c>
      <c r="Y52" s="20" t="s">
        <v>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20" t="s">
        <v>33</v>
      </c>
      <c r="AE52" s="15" t="s">
        <v>35</v>
      </c>
      <c r="AF52" s="15" t="s">
        <v>35</v>
      </c>
      <c r="AG52" s="15" t="s">
        <v>35</v>
      </c>
      <c r="AH52" s="15">
        <f t="shared" si="3"/>
        <v>-15</v>
      </c>
      <c r="AI52" s="15"/>
      <c r="AJ52" s="15" t="s">
        <v>61</v>
      </c>
    </row>
    <row r="53" ht="15.75" customHeight="1">
      <c r="A53" s="15" t="s">
        <v>2229</v>
      </c>
      <c r="B53" s="23" t="s">
        <v>2473</v>
      </c>
      <c r="C53" s="15" t="s">
        <v>2474</v>
      </c>
      <c r="D53" s="15" t="s">
        <v>2475</v>
      </c>
      <c r="E53" s="15" t="s">
        <v>2476</v>
      </c>
      <c r="F53" s="15" t="s">
        <v>33</v>
      </c>
      <c r="G53" s="15" t="s">
        <v>33</v>
      </c>
      <c r="H53" s="15" t="s">
        <v>33</v>
      </c>
      <c r="I53" s="15" t="s">
        <v>33</v>
      </c>
      <c r="J53" s="15" t="s">
        <v>33</v>
      </c>
      <c r="K53" s="15" t="s">
        <v>33</v>
      </c>
      <c r="L53" s="15" t="s">
        <v>33</v>
      </c>
      <c r="M53" s="15" t="s">
        <v>33</v>
      </c>
      <c r="N53" s="15" t="s">
        <v>33</v>
      </c>
      <c r="O53" s="15" t="s">
        <v>33</v>
      </c>
      <c r="P53" s="15" t="s">
        <v>33</v>
      </c>
      <c r="Q53" s="15" t="s">
        <v>33</v>
      </c>
      <c r="R53" s="15" t="s">
        <v>33</v>
      </c>
      <c r="S53" s="15" t="s">
        <v>33</v>
      </c>
      <c r="T53" s="15" t="s">
        <v>33</v>
      </c>
      <c r="U53" s="15">
        <f>TEXT(D53-C53,"[mm]")/60</f>
        <v>4.616666667</v>
      </c>
      <c r="V53" s="20" t="s">
        <v>33</v>
      </c>
      <c r="W53" s="20" t="s">
        <v>33</v>
      </c>
      <c r="X53" s="20" t="s">
        <v>33</v>
      </c>
      <c r="Y53" s="20" t="s">
        <v>33</v>
      </c>
      <c r="Z53" s="20" t="s">
        <v>33</v>
      </c>
      <c r="AA53" s="20" t="s">
        <v>33</v>
      </c>
      <c r="AB53" s="20" t="s">
        <v>33</v>
      </c>
      <c r="AC53" s="20" t="s">
        <v>33</v>
      </c>
      <c r="AD53" s="15">
        <f>AVERAGE(U53:AC53)</f>
        <v>4.616666667</v>
      </c>
      <c r="AE53" s="15" t="s">
        <v>34</v>
      </c>
      <c r="AF53" s="15" t="s">
        <v>35</v>
      </c>
      <c r="AG53" s="15" t="s">
        <v>35</v>
      </c>
      <c r="AH53" s="15">
        <f t="shared" si="3"/>
        <v>10</v>
      </c>
      <c r="AI53" s="15"/>
      <c r="AJ53" s="15" t="s">
        <v>61</v>
      </c>
    </row>
    <row r="54" ht="15.75" customHeight="1">
      <c r="A54" s="15" t="s">
        <v>2229</v>
      </c>
      <c r="B54" s="23" t="s">
        <v>2477</v>
      </c>
      <c r="C54" s="15" t="s">
        <v>2478</v>
      </c>
      <c r="D54" s="15" t="s">
        <v>33</v>
      </c>
      <c r="E54" s="15" t="s">
        <v>33</v>
      </c>
      <c r="F54" s="15" t="s">
        <v>33</v>
      </c>
      <c r="G54" s="15" t="s">
        <v>33</v>
      </c>
      <c r="H54" s="15" t="s">
        <v>33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20" t="s">
        <v>33</v>
      </c>
      <c r="V54" s="20" t="s">
        <v>33</v>
      </c>
      <c r="W54" s="20" t="s">
        <v>33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20" t="s">
        <v>33</v>
      </c>
      <c r="AE54" s="15" t="s">
        <v>35</v>
      </c>
      <c r="AF54" s="15" t="s">
        <v>35</v>
      </c>
      <c r="AG54" s="15" t="s">
        <v>35</v>
      </c>
      <c r="AH54" s="15">
        <f t="shared" si="3"/>
        <v>-15</v>
      </c>
      <c r="AI54" s="15"/>
      <c r="AJ54" s="15" t="s">
        <v>61</v>
      </c>
    </row>
    <row r="55" ht="15.75" customHeight="1">
      <c r="A55" s="15" t="s">
        <v>2229</v>
      </c>
      <c r="B55" s="23" t="s">
        <v>2479</v>
      </c>
      <c r="C55" s="15" t="s">
        <v>2480</v>
      </c>
      <c r="D55" s="15" t="s">
        <v>33</v>
      </c>
      <c r="E55" s="15" t="s">
        <v>2481</v>
      </c>
      <c r="F55" s="15" t="s">
        <v>33</v>
      </c>
      <c r="G55" s="15" t="s">
        <v>33</v>
      </c>
      <c r="H55" s="15" t="s">
        <v>33</v>
      </c>
      <c r="I55" s="15" t="s">
        <v>33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20" t="s">
        <v>33</v>
      </c>
      <c r="V55" s="20" t="s">
        <v>33</v>
      </c>
      <c r="W55" s="20" t="s">
        <v>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20" t="s">
        <v>33</v>
      </c>
      <c r="AE55" s="15" t="s">
        <v>35</v>
      </c>
      <c r="AF55" s="15" t="s">
        <v>35</v>
      </c>
      <c r="AG55" s="15" t="s">
        <v>35</v>
      </c>
      <c r="AH55" s="15">
        <f t="shared" si="3"/>
        <v>-15</v>
      </c>
      <c r="AI55" s="15"/>
      <c r="AJ55" s="15" t="s">
        <v>61</v>
      </c>
    </row>
    <row r="56" ht="15.75" customHeight="1">
      <c r="A56" s="15" t="s">
        <v>2229</v>
      </c>
      <c r="B56" s="23" t="s">
        <v>2482</v>
      </c>
      <c r="C56" s="15" t="s">
        <v>2483</v>
      </c>
      <c r="D56" s="15" t="s">
        <v>2484</v>
      </c>
      <c r="E56" s="15" t="s">
        <v>2485</v>
      </c>
      <c r="F56" s="15" t="s">
        <v>2089</v>
      </c>
      <c r="G56" s="15" t="s">
        <v>33</v>
      </c>
      <c r="H56" s="15" t="s">
        <v>2486</v>
      </c>
      <c r="I56" s="15" t="s">
        <v>33</v>
      </c>
      <c r="J56" s="15" t="s">
        <v>33</v>
      </c>
      <c r="K56" s="15" t="s">
        <v>33</v>
      </c>
      <c r="L56" s="15" t="s">
        <v>33</v>
      </c>
      <c r="M56" s="15" t="s">
        <v>33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15">
        <f t="shared" ref="U56:U65" si="22">TEXT(D56-C56,"[mm]")/60</f>
        <v>0.1</v>
      </c>
      <c r="V56" s="15">
        <f>TEXT(F56-E56,"[mm]")/60</f>
        <v>18.61666667</v>
      </c>
      <c r="W56" s="20" t="s">
        <v>33</v>
      </c>
      <c r="X56" s="20" t="s">
        <v>33</v>
      </c>
      <c r="Y56" s="20" t="s">
        <v>33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15">
        <f t="shared" ref="AD56:AD65" si="23">AVERAGE(U56:AC56)</f>
        <v>9.358333333</v>
      </c>
      <c r="AE56" s="15" t="s">
        <v>34</v>
      </c>
      <c r="AF56" s="15" t="s">
        <v>35</v>
      </c>
      <c r="AG56" s="15" t="s">
        <v>35</v>
      </c>
      <c r="AH56" s="15">
        <f t="shared" si="3"/>
        <v>10</v>
      </c>
      <c r="AI56" s="15"/>
      <c r="AJ56" s="15" t="s">
        <v>61</v>
      </c>
    </row>
    <row r="57" ht="15.75" customHeight="1">
      <c r="A57" s="15" t="s">
        <v>2229</v>
      </c>
      <c r="B57" s="23" t="s">
        <v>2487</v>
      </c>
      <c r="C57" s="15" t="s">
        <v>2488</v>
      </c>
      <c r="D57" s="15" t="s">
        <v>387</v>
      </c>
      <c r="E57" s="15" t="s">
        <v>33</v>
      </c>
      <c r="F57" s="15" t="s">
        <v>1395</v>
      </c>
      <c r="G57" s="15" t="s">
        <v>33</v>
      </c>
      <c r="H57" s="15" t="s">
        <v>2489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si="22"/>
        <v>0.06666666667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15">
        <f t="shared" si="23"/>
        <v>0.06666666667</v>
      </c>
      <c r="AE57" s="15" t="s">
        <v>34</v>
      </c>
      <c r="AF57" s="15" t="s">
        <v>35</v>
      </c>
      <c r="AG57" s="15" t="s">
        <v>35</v>
      </c>
      <c r="AH57" s="15">
        <f t="shared" si="3"/>
        <v>10</v>
      </c>
      <c r="AI57" s="15"/>
      <c r="AJ57" s="15" t="s">
        <v>61</v>
      </c>
    </row>
    <row r="58" ht="15.75" customHeight="1">
      <c r="A58" s="15" t="s">
        <v>2229</v>
      </c>
      <c r="B58" s="23" t="s">
        <v>2490</v>
      </c>
      <c r="C58" s="15" t="s">
        <v>2491</v>
      </c>
      <c r="D58" s="15" t="s">
        <v>2492</v>
      </c>
      <c r="E58" s="15" t="s">
        <v>2493</v>
      </c>
      <c r="F58" s="15" t="s">
        <v>2494</v>
      </c>
      <c r="G58" s="15" t="s">
        <v>2495</v>
      </c>
      <c r="H58" s="15" t="s">
        <v>2496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si="22"/>
        <v>0.3166666667</v>
      </c>
      <c r="V58" s="15">
        <f t="shared" ref="V58:V59" si="24">TEXT(F58-E58,"[mm]")/60</f>
        <v>94.68333333</v>
      </c>
      <c r="W58" s="15">
        <f t="shared" ref="W58:W59" si="25">TEXT(H58-G58,"[mm]")/60</f>
        <v>78.21666667</v>
      </c>
      <c r="X58" s="20" t="s">
        <v>33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15">
        <f t="shared" si="23"/>
        <v>57.73888889</v>
      </c>
      <c r="AE58" s="15" t="s">
        <v>34</v>
      </c>
      <c r="AF58" s="15" t="s">
        <v>35</v>
      </c>
      <c r="AG58" s="15" t="s">
        <v>35</v>
      </c>
      <c r="AH58" s="15">
        <f t="shared" si="3"/>
        <v>10</v>
      </c>
      <c r="AI58" s="15"/>
      <c r="AJ58" s="15" t="s">
        <v>61</v>
      </c>
    </row>
    <row r="59" ht="15.75" customHeight="1">
      <c r="A59" s="15" t="s">
        <v>2229</v>
      </c>
      <c r="B59" s="23" t="s">
        <v>2497</v>
      </c>
      <c r="C59" s="15" t="s">
        <v>423</v>
      </c>
      <c r="D59" s="15" t="s">
        <v>2498</v>
      </c>
      <c r="E59" s="15" t="s">
        <v>2499</v>
      </c>
      <c r="F59" s="15" t="s">
        <v>2235</v>
      </c>
      <c r="G59" s="15" t="s">
        <v>2500</v>
      </c>
      <c r="H59" s="15" t="s">
        <v>2501</v>
      </c>
      <c r="I59" s="15" t="s">
        <v>2502</v>
      </c>
      <c r="J59" s="15" t="s">
        <v>2503</v>
      </c>
      <c r="K59" s="15" t="s">
        <v>2504</v>
      </c>
      <c r="L59" s="15" t="s">
        <v>2505</v>
      </c>
      <c r="M59" s="15" t="s">
        <v>2506</v>
      </c>
      <c r="N59" s="15" t="s">
        <v>33</v>
      </c>
      <c r="O59" s="15" t="s">
        <v>1775</v>
      </c>
      <c r="P59" s="15" t="s">
        <v>33</v>
      </c>
      <c r="Q59" s="15" t="s">
        <v>2507</v>
      </c>
      <c r="R59" s="15" t="s">
        <v>33</v>
      </c>
      <c r="S59" s="15" t="s">
        <v>2508</v>
      </c>
      <c r="T59" s="15" t="s">
        <v>33</v>
      </c>
      <c r="U59" s="15">
        <f t="shared" si="22"/>
        <v>169.6166667</v>
      </c>
      <c r="V59" s="15">
        <f t="shared" si="24"/>
        <v>91.23333333</v>
      </c>
      <c r="W59" s="15">
        <f t="shared" si="25"/>
        <v>135.8666667</v>
      </c>
      <c r="X59" s="15">
        <f>TEXT(J59-I59,"[mm]")/60</f>
        <v>496.7166667</v>
      </c>
      <c r="Y59" s="15">
        <f>TEXT(L59-K59,"[mm]")/60</f>
        <v>556.05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si="23"/>
        <v>289.8966667</v>
      </c>
      <c r="AE59" s="15" t="s">
        <v>35</v>
      </c>
      <c r="AF59" s="15" t="s">
        <v>35</v>
      </c>
      <c r="AG59" s="15" t="s">
        <v>34</v>
      </c>
      <c r="AH59" s="15">
        <f t="shared" si="3"/>
        <v>-10</v>
      </c>
      <c r="AI59" s="15"/>
      <c r="AJ59" s="15" t="s">
        <v>61</v>
      </c>
    </row>
    <row r="60" ht="15.75" customHeight="1">
      <c r="A60" s="15" t="s">
        <v>2229</v>
      </c>
      <c r="B60" s="23" t="s">
        <v>2509</v>
      </c>
      <c r="C60" s="15" t="s">
        <v>2510</v>
      </c>
      <c r="D60" s="15" t="s">
        <v>2511</v>
      </c>
      <c r="E60" s="15" t="s">
        <v>33</v>
      </c>
      <c r="F60" s="15" t="s">
        <v>2512</v>
      </c>
      <c r="G60" s="15" t="s">
        <v>33</v>
      </c>
      <c r="H60" s="15" t="s">
        <v>33</v>
      </c>
      <c r="I60" s="15" t="s">
        <v>33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15">
        <f t="shared" si="22"/>
        <v>0.05</v>
      </c>
      <c r="V60" s="20" t="s">
        <v>33</v>
      </c>
      <c r="W60" s="20" t="s">
        <v>33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15">
        <f t="shared" si="23"/>
        <v>0.05</v>
      </c>
      <c r="AE60" s="15" t="s">
        <v>34</v>
      </c>
      <c r="AF60" s="15" t="s">
        <v>35</v>
      </c>
      <c r="AG60" s="15" t="s">
        <v>35</v>
      </c>
      <c r="AH60" s="15">
        <f t="shared" si="3"/>
        <v>10</v>
      </c>
      <c r="AI60" s="15"/>
      <c r="AJ60" s="15" t="s">
        <v>61</v>
      </c>
    </row>
    <row r="61" ht="15.75" customHeight="1">
      <c r="A61" s="15" t="s">
        <v>2229</v>
      </c>
      <c r="B61" s="23" t="s">
        <v>2513</v>
      </c>
      <c r="C61" s="15" t="s">
        <v>2514</v>
      </c>
      <c r="D61" s="15" t="s">
        <v>2515</v>
      </c>
      <c r="E61" s="15" t="s">
        <v>33</v>
      </c>
      <c r="F61" s="15" t="s">
        <v>33</v>
      </c>
      <c r="G61" s="15" t="s">
        <v>33</v>
      </c>
      <c r="H61" s="15" t="s">
        <v>33</v>
      </c>
      <c r="I61" s="15" t="s">
        <v>33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 t="shared" si="22"/>
        <v>0.01666666667</v>
      </c>
      <c r="V61" s="20" t="s">
        <v>33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15">
        <f t="shared" si="23"/>
        <v>0.01666666667</v>
      </c>
      <c r="AE61" s="15" t="s">
        <v>34</v>
      </c>
      <c r="AF61" s="15" t="s">
        <v>35</v>
      </c>
      <c r="AG61" s="15" t="s">
        <v>35</v>
      </c>
      <c r="AH61" s="15">
        <f t="shared" si="3"/>
        <v>10</v>
      </c>
      <c r="AI61" s="15"/>
      <c r="AJ61" s="15" t="s">
        <v>61</v>
      </c>
    </row>
    <row r="62" ht="15.75" customHeight="1">
      <c r="A62" s="15" t="s">
        <v>2229</v>
      </c>
      <c r="B62" s="23" t="s">
        <v>2516</v>
      </c>
      <c r="C62" s="15" t="s">
        <v>2517</v>
      </c>
      <c r="D62" s="15" t="s">
        <v>2518</v>
      </c>
      <c r="E62" s="15" t="s">
        <v>2519</v>
      </c>
      <c r="F62" s="15" t="s">
        <v>2520</v>
      </c>
      <c r="G62" s="15" t="s">
        <v>2189</v>
      </c>
      <c r="H62" s="15" t="s">
        <v>33</v>
      </c>
      <c r="I62" s="15" t="s">
        <v>2521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15">
        <f t="shared" si="22"/>
        <v>0.03333333333</v>
      </c>
      <c r="V62" s="15">
        <f>TEXT(F62-E62,"[mm]")/60</f>
        <v>80.4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15">
        <f t="shared" si="23"/>
        <v>40.21666667</v>
      </c>
      <c r="AE62" s="15" t="s">
        <v>34</v>
      </c>
      <c r="AF62" s="15" t="s">
        <v>35</v>
      </c>
      <c r="AG62" s="15" t="s">
        <v>35</v>
      </c>
      <c r="AH62" s="15">
        <f t="shared" si="3"/>
        <v>10</v>
      </c>
      <c r="AI62" s="15"/>
      <c r="AJ62" s="15" t="s">
        <v>61</v>
      </c>
    </row>
    <row r="63" ht="15.75" customHeight="1">
      <c r="A63" s="15" t="s">
        <v>2229</v>
      </c>
      <c r="B63" s="23" t="s">
        <v>2522</v>
      </c>
      <c r="C63" s="15" t="s">
        <v>2523</v>
      </c>
      <c r="D63" s="15" t="s">
        <v>2524</v>
      </c>
      <c r="E63" s="15" t="s">
        <v>33</v>
      </c>
      <c r="F63" s="15" t="s">
        <v>33</v>
      </c>
      <c r="G63" s="15" t="s">
        <v>33</v>
      </c>
      <c r="H63" s="15" t="s">
        <v>33</v>
      </c>
      <c r="I63" s="15" t="s">
        <v>33</v>
      </c>
      <c r="J63" s="15" t="s">
        <v>33</v>
      </c>
      <c r="K63" s="15" t="s">
        <v>33</v>
      </c>
      <c r="L63" s="15" t="s">
        <v>33</v>
      </c>
      <c r="M63" s="15" t="s">
        <v>33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15">
        <f t="shared" si="22"/>
        <v>1.883333333</v>
      </c>
      <c r="V63" s="20" t="s">
        <v>33</v>
      </c>
      <c r="W63" s="20" t="s">
        <v>33</v>
      </c>
      <c r="X63" s="20" t="s">
        <v>33</v>
      </c>
      <c r="Y63" s="20" t="s">
        <v>33</v>
      </c>
      <c r="Z63" s="20" t="s">
        <v>33</v>
      </c>
      <c r="AA63" s="20" t="s">
        <v>33</v>
      </c>
      <c r="AB63" s="20" t="s">
        <v>33</v>
      </c>
      <c r="AC63" s="20" t="s">
        <v>33</v>
      </c>
      <c r="AD63" s="15">
        <f t="shared" si="23"/>
        <v>1.883333333</v>
      </c>
      <c r="AE63" s="15" t="s">
        <v>34</v>
      </c>
      <c r="AF63" s="15" t="s">
        <v>35</v>
      </c>
      <c r="AG63" s="15" t="s">
        <v>35</v>
      </c>
      <c r="AH63" s="15">
        <f t="shared" si="3"/>
        <v>10</v>
      </c>
      <c r="AI63" s="15"/>
      <c r="AJ63" s="15" t="s">
        <v>61</v>
      </c>
    </row>
    <row r="64" ht="15.75" customHeight="1">
      <c r="A64" s="15" t="s">
        <v>2229</v>
      </c>
      <c r="B64" s="23" t="s">
        <v>2525</v>
      </c>
      <c r="C64" s="15" t="s">
        <v>2526</v>
      </c>
      <c r="D64" s="15" t="s">
        <v>2527</v>
      </c>
      <c r="E64" s="15" t="s">
        <v>2528</v>
      </c>
      <c r="F64" s="15" t="s">
        <v>2529</v>
      </c>
      <c r="G64" s="15" t="s">
        <v>2530</v>
      </c>
      <c r="H64" s="15" t="s">
        <v>2531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15">
        <f t="shared" si="22"/>
        <v>11.23333333</v>
      </c>
      <c r="V64" s="15">
        <f t="shared" ref="V64:V65" si="26">TEXT(F64-E64,"[mm]")/60</f>
        <v>0.05</v>
      </c>
      <c r="W64" s="15">
        <f>TEXT(H64-G64,"[mm]")/60</f>
        <v>16.71666667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15">
        <f t="shared" si="23"/>
        <v>9.333333333</v>
      </c>
      <c r="AE64" s="15" t="s">
        <v>34</v>
      </c>
      <c r="AF64" s="15" t="s">
        <v>35</v>
      </c>
      <c r="AG64" s="15" t="s">
        <v>35</v>
      </c>
      <c r="AH64" s="15">
        <f t="shared" si="3"/>
        <v>10</v>
      </c>
      <c r="AI64" s="15"/>
      <c r="AJ64" s="15" t="s">
        <v>61</v>
      </c>
    </row>
    <row r="65" ht="15.75" customHeight="1">
      <c r="A65" s="15" t="s">
        <v>2229</v>
      </c>
      <c r="B65" s="23" t="s">
        <v>2532</v>
      </c>
      <c r="C65" s="15" t="s">
        <v>2533</v>
      </c>
      <c r="D65" s="15" t="s">
        <v>2534</v>
      </c>
      <c r="E65" s="15" t="s">
        <v>2535</v>
      </c>
      <c r="F65" s="15" t="s">
        <v>2536</v>
      </c>
      <c r="G65" s="15" t="s">
        <v>2537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si="22"/>
        <v>0.1666666667</v>
      </c>
      <c r="V65" s="15">
        <f t="shared" si="26"/>
        <v>48.18333333</v>
      </c>
      <c r="W65" s="20" t="s">
        <v>33</v>
      </c>
      <c r="X65" s="20" t="s">
        <v>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si="23"/>
        <v>24.175</v>
      </c>
      <c r="AE65" s="15" t="s">
        <v>34</v>
      </c>
      <c r="AF65" s="15" t="s">
        <v>35</v>
      </c>
      <c r="AG65" s="15" t="s">
        <v>35</v>
      </c>
      <c r="AH65" s="15">
        <f t="shared" si="3"/>
        <v>10</v>
      </c>
      <c r="AI65" s="15"/>
      <c r="AJ65" s="15" t="s">
        <v>61</v>
      </c>
    </row>
    <row r="66" ht="15.75" customHeight="1">
      <c r="A66" s="15" t="s">
        <v>2229</v>
      </c>
      <c r="B66" s="23" t="s">
        <v>2538</v>
      </c>
      <c r="C66" s="15" t="s">
        <v>2539</v>
      </c>
      <c r="D66" s="15" t="s">
        <v>33</v>
      </c>
      <c r="E66" s="15" t="s">
        <v>33</v>
      </c>
      <c r="F66" s="15" t="s">
        <v>33</v>
      </c>
      <c r="G66" s="15" t="s">
        <v>33</v>
      </c>
      <c r="H66" s="15" t="s">
        <v>33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20" t="s">
        <v>33</v>
      </c>
      <c r="V66" s="20" t="s">
        <v>33</v>
      </c>
      <c r="W66" s="20" t="s">
        <v>33</v>
      </c>
      <c r="X66" s="20" t="s">
        <v>33</v>
      </c>
      <c r="Y66" s="20" t="s">
        <v>33</v>
      </c>
      <c r="Z66" s="20" t="s">
        <v>33</v>
      </c>
      <c r="AA66" s="20" t="s">
        <v>33</v>
      </c>
      <c r="AB66" s="20" t="s">
        <v>33</v>
      </c>
      <c r="AC66" s="20" t="s">
        <v>33</v>
      </c>
      <c r="AD66" s="20" t="s">
        <v>33</v>
      </c>
      <c r="AE66" s="15" t="s">
        <v>35</v>
      </c>
      <c r="AF66" s="15" t="s">
        <v>35</v>
      </c>
      <c r="AG66" s="15" t="s">
        <v>35</v>
      </c>
      <c r="AH66" s="15">
        <f t="shared" si="3"/>
        <v>-15</v>
      </c>
      <c r="AI66" s="15"/>
      <c r="AJ66" s="15" t="s">
        <v>61</v>
      </c>
    </row>
    <row r="67" ht="15.75" customHeight="1">
      <c r="A67" s="15" t="s">
        <v>2229</v>
      </c>
      <c r="B67" s="23" t="s">
        <v>2540</v>
      </c>
      <c r="C67" s="15" t="s">
        <v>2541</v>
      </c>
      <c r="D67" s="15" t="s">
        <v>33</v>
      </c>
      <c r="E67" s="15" t="s">
        <v>33</v>
      </c>
      <c r="F67" s="15" t="s">
        <v>33</v>
      </c>
      <c r="G67" s="15" t="s">
        <v>33</v>
      </c>
      <c r="H67" s="15" t="s">
        <v>33</v>
      </c>
      <c r="I67" s="15" t="s">
        <v>33</v>
      </c>
      <c r="J67" s="15" t="s">
        <v>33</v>
      </c>
      <c r="K67" s="15" t="s">
        <v>33</v>
      </c>
      <c r="L67" s="15" t="s">
        <v>33</v>
      </c>
      <c r="M67" s="15" t="s">
        <v>33</v>
      </c>
      <c r="N67" s="15" t="s">
        <v>33</v>
      </c>
      <c r="O67" s="15" t="s">
        <v>33</v>
      </c>
      <c r="P67" s="15" t="s">
        <v>33</v>
      </c>
      <c r="Q67" s="15" t="s">
        <v>33</v>
      </c>
      <c r="R67" s="15" t="s">
        <v>33</v>
      </c>
      <c r="S67" s="15" t="s">
        <v>33</v>
      </c>
      <c r="T67" s="15" t="s">
        <v>33</v>
      </c>
      <c r="U67" s="20" t="s">
        <v>33</v>
      </c>
      <c r="V67" s="20" t="s">
        <v>33</v>
      </c>
      <c r="W67" s="20" t="s">
        <v>33</v>
      </c>
      <c r="X67" s="20" t="s">
        <v>33</v>
      </c>
      <c r="Y67" s="20" t="s">
        <v>33</v>
      </c>
      <c r="Z67" s="20" t="s">
        <v>33</v>
      </c>
      <c r="AA67" s="20" t="s">
        <v>33</v>
      </c>
      <c r="AB67" s="20" t="s">
        <v>33</v>
      </c>
      <c r="AC67" s="20" t="s">
        <v>33</v>
      </c>
      <c r="AD67" s="20" t="s">
        <v>33</v>
      </c>
      <c r="AE67" s="15" t="s">
        <v>35</v>
      </c>
      <c r="AF67" s="15" t="s">
        <v>35</v>
      </c>
      <c r="AG67" s="15" t="s">
        <v>35</v>
      </c>
      <c r="AH67" s="15">
        <f t="shared" si="3"/>
        <v>-15</v>
      </c>
      <c r="AI67" s="15"/>
      <c r="AJ67" s="15" t="s">
        <v>61</v>
      </c>
    </row>
    <row r="68" ht="15.75" customHeight="1">
      <c r="A68" s="15" t="s">
        <v>2229</v>
      </c>
      <c r="B68" s="23" t="s">
        <v>2542</v>
      </c>
      <c r="C68" s="15" t="s">
        <v>2543</v>
      </c>
      <c r="D68" s="15" t="s">
        <v>2544</v>
      </c>
      <c r="E68" s="15" t="s">
        <v>33</v>
      </c>
      <c r="F68" s="15" t="s">
        <v>33</v>
      </c>
      <c r="G68" s="15" t="s">
        <v>33</v>
      </c>
      <c r="H68" s="15" t="s">
        <v>33</v>
      </c>
      <c r="I68" s="15" t="s">
        <v>33</v>
      </c>
      <c r="J68" s="15" t="s">
        <v>33</v>
      </c>
      <c r="K68" s="15" t="s">
        <v>33</v>
      </c>
      <c r="L68" s="15" t="s">
        <v>33</v>
      </c>
      <c r="M68" s="15" t="s">
        <v>33</v>
      </c>
      <c r="N68" s="15" t="s">
        <v>33</v>
      </c>
      <c r="O68" s="15" t="s">
        <v>33</v>
      </c>
      <c r="P68" s="15" t="s">
        <v>33</v>
      </c>
      <c r="Q68" s="15" t="s">
        <v>33</v>
      </c>
      <c r="R68" s="15" t="s">
        <v>33</v>
      </c>
      <c r="S68" s="15" t="s">
        <v>33</v>
      </c>
      <c r="T68" s="15" t="s">
        <v>33</v>
      </c>
      <c r="U68" s="15">
        <f t="shared" ref="U68:U71" si="27">TEXT(D68-C68,"[mm]")/60</f>
        <v>14.55</v>
      </c>
      <c r="V68" s="20" t="s">
        <v>33</v>
      </c>
      <c r="W68" s="20" t="s">
        <v>33</v>
      </c>
      <c r="X68" s="20" t="s">
        <v>33</v>
      </c>
      <c r="Y68" s="20" t="s">
        <v>33</v>
      </c>
      <c r="Z68" s="20" t="s">
        <v>33</v>
      </c>
      <c r="AA68" s="20" t="s">
        <v>33</v>
      </c>
      <c r="AB68" s="20" t="s">
        <v>33</v>
      </c>
      <c r="AC68" s="20" t="s">
        <v>33</v>
      </c>
      <c r="AD68" s="15">
        <f t="shared" ref="AD68:AD71" si="28">AVERAGE(U68:AC68)</f>
        <v>14.55</v>
      </c>
      <c r="AE68" s="15" t="s">
        <v>34</v>
      </c>
      <c r="AF68" s="15" t="s">
        <v>35</v>
      </c>
      <c r="AG68" s="15" t="s">
        <v>35</v>
      </c>
      <c r="AH68" s="15">
        <f t="shared" si="3"/>
        <v>10</v>
      </c>
      <c r="AI68" s="15"/>
      <c r="AJ68" s="15" t="s">
        <v>61</v>
      </c>
    </row>
    <row r="69" ht="15.75" customHeight="1">
      <c r="A69" s="15" t="s">
        <v>2229</v>
      </c>
      <c r="B69" s="23" t="s">
        <v>2545</v>
      </c>
      <c r="C69" s="15" t="s">
        <v>2546</v>
      </c>
      <c r="D69" s="15" t="s">
        <v>2547</v>
      </c>
      <c r="E69" s="15" t="s">
        <v>2548</v>
      </c>
      <c r="F69" s="15" t="s">
        <v>33</v>
      </c>
      <c r="G69" s="15" t="s">
        <v>2549</v>
      </c>
      <c r="H69" s="15" t="s">
        <v>33</v>
      </c>
      <c r="I69" s="15" t="s">
        <v>33</v>
      </c>
      <c r="J69" s="15" t="s">
        <v>33</v>
      </c>
      <c r="K69" s="15" t="s">
        <v>33</v>
      </c>
      <c r="L69" s="15" t="s">
        <v>33</v>
      </c>
      <c r="M69" s="15" t="s">
        <v>33</v>
      </c>
      <c r="N69" s="15" t="s">
        <v>33</v>
      </c>
      <c r="O69" s="15" t="s">
        <v>33</v>
      </c>
      <c r="P69" s="15" t="s">
        <v>33</v>
      </c>
      <c r="Q69" s="15" t="s">
        <v>33</v>
      </c>
      <c r="R69" s="15" t="s">
        <v>33</v>
      </c>
      <c r="S69" s="15" t="s">
        <v>33</v>
      </c>
      <c r="T69" s="15" t="s">
        <v>33</v>
      </c>
      <c r="U69" s="15">
        <f t="shared" si="27"/>
        <v>0.05</v>
      </c>
      <c r="V69" s="20" t="s">
        <v>33</v>
      </c>
      <c r="W69" s="20" t="s">
        <v>33</v>
      </c>
      <c r="X69" s="20" t="s">
        <v>33</v>
      </c>
      <c r="Y69" s="20" t="s">
        <v>33</v>
      </c>
      <c r="Z69" s="20" t="s">
        <v>33</v>
      </c>
      <c r="AA69" s="20" t="s">
        <v>33</v>
      </c>
      <c r="AB69" s="20" t="s">
        <v>33</v>
      </c>
      <c r="AC69" s="20" t="s">
        <v>33</v>
      </c>
      <c r="AD69" s="15">
        <f t="shared" si="28"/>
        <v>0.05</v>
      </c>
      <c r="AE69" s="15" t="s">
        <v>34</v>
      </c>
      <c r="AF69" s="15" t="s">
        <v>35</v>
      </c>
      <c r="AG69" s="15" t="s">
        <v>35</v>
      </c>
      <c r="AH69" s="15">
        <f t="shared" si="3"/>
        <v>10</v>
      </c>
      <c r="AI69" s="15"/>
      <c r="AJ69" s="15" t="s">
        <v>61</v>
      </c>
    </row>
    <row r="70" ht="15.75" customHeight="1">
      <c r="A70" s="15" t="s">
        <v>2229</v>
      </c>
      <c r="B70" s="23" t="s">
        <v>2550</v>
      </c>
      <c r="C70" s="15" t="s">
        <v>2551</v>
      </c>
      <c r="D70" s="15" t="s">
        <v>2552</v>
      </c>
      <c r="E70" s="15" t="s">
        <v>33</v>
      </c>
      <c r="F70" s="15" t="s">
        <v>33</v>
      </c>
      <c r="G70" s="15" t="s">
        <v>33</v>
      </c>
      <c r="H70" s="15" t="s">
        <v>33</v>
      </c>
      <c r="I70" s="15" t="s">
        <v>33</v>
      </c>
      <c r="J70" s="15" t="s">
        <v>33</v>
      </c>
      <c r="K70" s="15" t="s">
        <v>33</v>
      </c>
      <c r="L70" s="15" t="s">
        <v>33</v>
      </c>
      <c r="M70" s="15" t="s">
        <v>33</v>
      </c>
      <c r="N70" s="15" t="s">
        <v>33</v>
      </c>
      <c r="O70" s="15" t="s">
        <v>33</v>
      </c>
      <c r="P70" s="15" t="s">
        <v>33</v>
      </c>
      <c r="Q70" s="15" t="s">
        <v>33</v>
      </c>
      <c r="R70" s="15" t="s">
        <v>33</v>
      </c>
      <c r="S70" s="15" t="s">
        <v>33</v>
      </c>
      <c r="T70" s="15" t="s">
        <v>33</v>
      </c>
      <c r="U70" s="15">
        <f t="shared" si="27"/>
        <v>0.4</v>
      </c>
      <c r="V70" s="20" t="s">
        <v>33</v>
      </c>
      <c r="W70" s="20" t="s">
        <v>33</v>
      </c>
      <c r="X70" s="20" t="s">
        <v>33</v>
      </c>
      <c r="Y70" s="20" t="s">
        <v>33</v>
      </c>
      <c r="Z70" s="20" t="s">
        <v>33</v>
      </c>
      <c r="AA70" s="20" t="s">
        <v>33</v>
      </c>
      <c r="AB70" s="20" t="s">
        <v>33</v>
      </c>
      <c r="AC70" s="20" t="s">
        <v>33</v>
      </c>
      <c r="AD70" s="15">
        <f t="shared" si="28"/>
        <v>0.4</v>
      </c>
      <c r="AE70" s="15" t="s">
        <v>34</v>
      </c>
      <c r="AF70" s="15" t="s">
        <v>35</v>
      </c>
      <c r="AG70" s="15" t="s">
        <v>35</v>
      </c>
      <c r="AH70" s="15">
        <f t="shared" si="3"/>
        <v>10</v>
      </c>
      <c r="AI70" s="15"/>
      <c r="AJ70" s="15" t="s">
        <v>61</v>
      </c>
    </row>
    <row r="71" ht="15.75" customHeight="1">
      <c r="A71" s="15" t="s">
        <v>2229</v>
      </c>
      <c r="B71" s="23" t="s">
        <v>2553</v>
      </c>
      <c r="C71" s="15" t="s">
        <v>1812</v>
      </c>
      <c r="D71" s="15" t="s">
        <v>2554</v>
      </c>
      <c r="E71" s="19">
        <v>46129.49722222222</v>
      </c>
      <c r="F71" s="19">
        <v>46129.666666666664</v>
      </c>
      <c r="G71" s="15" t="s">
        <v>33</v>
      </c>
      <c r="H71" s="15" t="s">
        <v>33</v>
      </c>
      <c r="I71" s="15" t="s">
        <v>33</v>
      </c>
      <c r="J71" s="15" t="s">
        <v>33</v>
      </c>
      <c r="K71" s="15" t="s">
        <v>33</v>
      </c>
      <c r="L71" s="15" t="s">
        <v>33</v>
      </c>
      <c r="M71" s="15" t="s">
        <v>33</v>
      </c>
      <c r="N71" s="15" t="s">
        <v>33</v>
      </c>
      <c r="O71" s="15" t="s">
        <v>33</v>
      </c>
      <c r="P71" s="15" t="s">
        <v>33</v>
      </c>
      <c r="Q71" s="15" t="s">
        <v>33</v>
      </c>
      <c r="R71" s="15" t="s">
        <v>33</v>
      </c>
      <c r="S71" s="15" t="s">
        <v>33</v>
      </c>
      <c r="T71" s="15" t="s">
        <v>33</v>
      </c>
      <c r="U71" s="15">
        <f t="shared" si="27"/>
        <v>1.033333333</v>
      </c>
      <c r="V71" s="15">
        <f>TEXT(F71-E71,"[mm]")/60</f>
        <v>4.066666667</v>
      </c>
      <c r="W71" s="20" t="s">
        <v>33</v>
      </c>
      <c r="X71" s="20" t="s">
        <v>33</v>
      </c>
      <c r="Y71" s="20" t="s">
        <v>33</v>
      </c>
      <c r="Z71" s="20" t="s">
        <v>33</v>
      </c>
      <c r="AA71" s="20" t="s">
        <v>33</v>
      </c>
      <c r="AB71" s="20" t="s">
        <v>33</v>
      </c>
      <c r="AC71" s="20" t="s">
        <v>33</v>
      </c>
      <c r="AD71" s="15">
        <f t="shared" si="28"/>
        <v>2.55</v>
      </c>
      <c r="AE71" s="15" t="s">
        <v>34</v>
      </c>
      <c r="AF71" s="15" t="s">
        <v>35</v>
      </c>
      <c r="AG71" s="15" t="s">
        <v>35</v>
      </c>
      <c r="AH71" s="15">
        <f t="shared" si="3"/>
        <v>10</v>
      </c>
      <c r="AI71" s="15"/>
      <c r="AJ71" s="15" t="s">
        <v>61</v>
      </c>
    </row>
    <row r="72" ht="15.75" customHeight="1">
      <c r="A72" s="15" t="s">
        <v>2229</v>
      </c>
      <c r="B72" s="23" t="s">
        <v>2555</v>
      </c>
      <c r="C72" s="15" t="s">
        <v>2556</v>
      </c>
      <c r="D72" s="15" t="s">
        <v>33</v>
      </c>
      <c r="E72" s="15" t="s">
        <v>2557</v>
      </c>
      <c r="F72" s="15" t="s">
        <v>33</v>
      </c>
      <c r="G72" s="15" t="s">
        <v>2558</v>
      </c>
      <c r="H72" s="15" t="s">
        <v>33</v>
      </c>
      <c r="I72" s="15" t="s">
        <v>2559</v>
      </c>
      <c r="J72" s="15" t="s">
        <v>33</v>
      </c>
      <c r="K72" s="15" t="s">
        <v>33</v>
      </c>
      <c r="L72" s="15" t="s">
        <v>33</v>
      </c>
      <c r="M72" s="15" t="s">
        <v>33</v>
      </c>
      <c r="N72" s="15" t="s">
        <v>33</v>
      </c>
      <c r="O72" s="15" t="s">
        <v>33</v>
      </c>
      <c r="P72" s="15" t="s">
        <v>33</v>
      </c>
      <c r="Q72" s="15" t="s">
        <v>33</v>
      </c>
      <c r="R72" s="15" t="s">
        <v>33</v>
      </c>
      <c r="S72" s="15" t="s">
        <v>33</v>
      </c>
      <c r="T72" s="15" t="s">
        <v>33</v>
      </c>
      <c r="U72" s="20" t="s">
        <v>33</v>
      </c>
      <c r="V72" s="20" t="s">
        <v>33</v>
      </c>
      <c r="W72" s="20" t="s">
        <v>33</v>
      </c>
      <c r="X72" s="20" t="s">
        <v>33</v>
      </c>
      <c r="Y72" s="20" t="s">
        <v>33</v>
      </c>
      <c r="Z72" s="20" t="s">
        <v>33</v>
      </c>
      <c r="AA72" s="20" t="s">
        <v>33</v>
      </c>
      <c r="AB72" s="20" t="s">
        <v>33</v>
      </c>
      <c r="AC72" s="20" t="s">
        <v>33</v>
      </c>
      <c r="AD72" s="20" t="s">
        <v>33</v>
      </c>
      <c r="AE72" s="15" t="s">
        <v>35</v>
      </c>
      <c r="AF72" s="15" t="s">
        <v>35</v>
      </c>
      <c r="AG72" s="15" t="s">
        <v>35</v>
      </c>
      <c r="AH72" s="15">
        <f t="shared" si="3"/>
        <v>-15</v>
      </c>
      <c r="AI72" s="15"/>
      <c r="AJ72" s="15" t="s">
        <v>61</v>
      </c>
    </row>
    <row r="73" ht="15.75" customHeight="1">
      <c r="A73" s="15" t="s">
        <v>2229</v>
      </c>
      <c r="B73" s="23" t="s">
        <v>2560</v>
      </c>
      <c r="C73" s="15" t="s">
        <v>2561</v>
      </c>
      <c r="D73" s="15" t="s">
        <v>2562</v>
      </c>
      <c r="E73" s="15" t="s">
        <v>33</v>
      </c>
      <c r="F73" s="15" t="s">
        <v>33</v>
      </c>
      <c r="G73" s="15" t="s">
        <v>33</v>
      </c>
      <c r="H73" s="15" t="s">
        <v>33</v>
      </c>
      <c r="I73" s="15" t="s">
        <v>33</v>
      </c>
      <c r="J73" s="15" t="s">
        <v>33</v>
      </c>
      <c r="K73" s="15" t="s">
        <v>33</v>
      </c>
      <c r="L73" s="15" t="s">
        <v>33</v>
      </c>
      <c r="M73" s="15" t="s">
        <v>33</v>
      </c>
      <c r="N73" s="15" t="s">
        <v>33</v>
      </c>
      <c r="O73" s="15" t="s">
        <v>33</v>
      </c>
      <c r="P73" s="15" t="s">
        <v>33</v>
      </c>
      <c r="Q73" s="15" t="s">
        <v>33</v>
      </c>
      <c r="R73" s="15" t="s">
        <v>33</v>
      </c>
      <c r="S73" s="15" t="s">
        <v>33</v>
      </c>
      <c r="T73" s="15" t="s">
        <v>33</v>
      </c>
      <c r="U73" s="15">
        <f t="shared" ref="U73:U77" si="29">TEXT(D73-C73,"[mm]")/60</f>
        <v>0.08333333333</v>
      </c>
      <c r="V73" s="20" t="s">
        <v>33</v>
      </c>
      <c r="W73" s="20" t="s">
        <v>33</v>
      </c>
      <c r="X73" s="20" t="s">
        <v>33</v>
      </c>
      <c r="Y73" s="20" t="s">
        <v>33</v>
      </c>
      <c r="Z73" s="20" t="s">
        <v>33</v>
      </c>
      <c r="AA73" s="20" t="s">
        <v>33</v>
      </c>
      <c r="AB73" s="20" t="s">
        <v>33</v>
      </c>
      <c r="AC73" s="20" t="s">
        <v>33</v>
      </c>
      <c r="AD73" s="15">
        <f t="shared" ref="AD73:AD77" si="30">AVERAGE(U73:AC73)</f>
        <v>0.08333333333</v>
      </c>
      <c r="AE73" s="15" t="s">
        <v>34</v>
      </c>
      <c r="AF73" s="15" t="s">
        <v>35</v>
      </c>
      <c r="AG73" s="15" t="s">
        <v>35</v>
      </c>
      <c r="AH73" s="15">
        <f t="shared" si="3"/>
        <v>10</v>
      </c>
      <c r="AI73" s="15"/>
      <c r="AJ73" s="15" t="s">
        <v>61</v>
      </c>
    </row>
    <row r="74" ht="15.75" customHeight="1">
      <c r="A74" s="15" t="s">
        <v>2229</v>
      </c>
      <c r="B74" s="23" t="s">
        <v>2563</v>
      </c>
      <c r="C74" s="15" t="s">
        <v>2564</v>
      </c>
      <c r="D74" s="15" t="s">
        <v>2565</v>
      </c>
      <c r="E74" s="15" t="s">
        <v>33</v>
      </c>
      <c r="F74" s="15" t="s">
        <v>2566</v>
      </c>
      <c r="G74" s="15" t="s">
        <v>33</v>
      </c>
      <c r="H74" s="15" t="s">
        <v>33</v>
      </c>
      <c r="I74" s="15" t="s">
        <v>33</v>
      </c>
      <c r="J74" s="15" t="s">
        <v>33</v>
      </c>
      <c r="K74" s="15" t="s">
        <v>33</v>
      </c>
      <c r="L74" s="15" t="s">
        <v>33</v>
      </c>
      <c r="M74" s="15" t="s">
        <v>33</v>
      </c>
      <c r="N74" s="15" t="s">
        <v>33</v>
      </c>
      <c r="O74" s="15" t="s">
        <v>33</v>
      </c>
      <c r="P74" s="15" t="s">
        <v>33</v>
      </c>
      <c r="Q74" s="15" t="s">
        <v>33</v>
      </c>
      <c r="R74" s="15" t="s">
        <v>33</v>
      </c>
      <c r="S74" s="15" t="s">
        <v>33</v>
      </c>
      <c r="T74" s="15" t="s">
        <v>33</v>
      </c>
      <c r="U74" s="15">
        <f t="shared" si="29"/>
        <v>0.45</v>
      </c>
      <c r="V74" s="20" t="s">
        <v>33</v>
      </c>
      <c r="W74" s="20" t="s">
        <v>33</v>
      </c>
      <c r="X74" s="20" t="s">
        <v>33</v>
      </c>
      <c r="Y74" s="20" t="s">
        <v>33</v>
      </c>
      <c r="Z74" s="20" t="s">
        <v>33</v>
      </c>
      <c r="AA74" s="20" t="s">
        <v>33</v>
      </c>
      <c r="AB74" s="20" t="s">
        <v>33</v>
      </c>
      <c r="AC74" s="20" t="s">
        <v>33</v>
      </c>
      <c r="AD74" s="15">
        <f t="shared" si="30"/>
        <v>0.45</v>
      </c>
      <c r="AE74" s="15" t="s">
        <v>34</v>
      </c>
      <c r="AF74" s="15" t="s">
        <v>35</v>
      </c>
      <c r="AG74" s="15" t="s">
        <v>35</v>
      </c>
      <c r="AH74" s="15">
        <f t="shared" si="3"/>
        <v>10</v>
      </c>
      <c r="AI74" s="15"/>
      <c r="AJ74" s="15" t="s">
        <v>61</v>
      </c>
    </row>
    <row r="75" ht="15.75" customHeight="1">
      <c r="A75" s="15" t="s">
        <v>2229</v>
      </c>
      <c r="B75" s="23" t="s">
        <v>2567</v>
      </c>
      <c r="C75" s="15" t="s">
        <v>2568</v>
      </c>
      <c r="D75" s="15" t="s">
        <v>2569</v>
      </c>
      <c r="E75" s="15" t="s">
        <v>2570</v>
      </c>
      <c r="F75" s="15" t="s">
        <v>1795</v>
      </c>
      <c r="G75" s="15" t="s">
        <v>2571</v>
      </c>
      <c r="H75" s="15" t="s">
        <v>2572</v>
      </c>
      <c r="I75" s="19">
        <v>46129.78472222222</v>
      </c>
      <c r="J75" s="19">
        <v>46132.645833333336</v>
      </c>
      <c r="K75" s="15" t="s">
        <v>2573</v>
      </c>
      <c r="L75" s="15" t="s">
        <v>2574</v>
      </c>
      <c r="M75" s="15" t="s">
        <v>33</v>
      </c>
      <c r="N75" s="15" t="s">
        <v>2575</v>
      </c>
      <c r="O75" s="15" t="s">
        <v>33</v>
      </c>
      <c r="P75" s="15" t="s">
        <v>2576</v>
      </c>
      <c r="Q75" s="15" t="s">
        <v>33</v>
      </c>
      <c r="R75" s="15" t="s">
        <v>33</v>
      </c>
      <c r="S75" s="15" t="s">
        <v>33</v>
      </c>
      <c r="T75" s="15" t="s">
        <v>33</v>
      </c>
      <c r="U75" s="15">
        <f t="shared" si="29"/>
        <v>0.03333333333</v>
      </c>
      <c r="V75" s="15">
        <f>TEXT(F75-E75,"[mm]")/60</f>
        <v>0.4666666667</v>
      </c>
      <c r="W75" s="15">
        <f>TEXT(H75-G75,"[mm]")/60</f>
        <v>0.03333333333</v>
      </c>
      <c r="X75" s="15">
        <f>TEXT(J75-I75,"[mm]")/60</f>
        <v>68.66666667</v>
      </c>
      <c r="Y75" s="15">
        <f>TEXT(L75-K75,"[mm]")/60</f>
        <v>1.516666667</v>
      </c>
      <c r="Z75" s="20" t="s">
        <v>33</v>
      </c>
      <c r="AA75" s="20" t="s">
        <v>33</v>
      </c>
      <c r="AB75" s="20" t="s">
        <v>33</v>
      </c>
      <c r="AC75" s="20" t="s">
        <v>33</v>
      </c>
      <c r="AD75" s="15">
        <f t="shared" si="30"/>
        <v>14.14333333</v>
      </c>
      <c r="AE75" s="15" t="s">
        <v>34</v>
      </c>
      <c r="AF75" s="15" t="s">
        <v>35</v>
      </c>
      <c r="AG75" s="15" t="s">
        <v>35</v>
      </c>
      <c r="AH75" s="15">
        <f t="shared" si="3"/>
        <v>10</v>
      </c>
      <c r="AI75" s="15"/>
      <c r="AJ75" s="15" t="s">
        <v>61</v>
      </c>
    </row>
    <row r="76" ht="15.75" customHeight="1">
      <c r="A76" s="15" t="s">
        <v>2229</v>
      </c>
      <c r="B76" s="23" t="s">
        <v>2577</v>
      </c>
      <c r="C76" s="15" t="s">
        <v>2578</v>
      </c>
      <c r="D76" s="15" t="s">
        <v>1819</v>
      </c>
      <c r="E76" s="15" t="s">
        <v>33</v>
      </c>
      <c r="F76" s="15" t="s">
        <v>33</v>
      </c>
      <c r="G76" s="15" t="s">
        <v>33</v>
      </c>
      <c r="H76" s="15" t="s">
        <v>33</v>
      </c>
      <c r="I76" s="15" t="s">
        <v>33</v>
      </c>
      <c r="J76" s="15" t="s">
        <v>33</v>
      </c>
      <c r="K76" s="15" t="s">
        <v>33</v>
      </c>
      <c r="L76" s="15" t="s">
        <v>33</v>
      </c>
      <c r="M76" s="15" t="s">
        <v>33</v>
      </c>
      <c r="N76" s="15" t="s">
        <v>33</v>
      </c>
      <c r="O76" s="15" t="s">
        <v>33</v>
      </c>
      <c r="P76" s="15" t="s">
        <v>33</v>
      </c>
      <c r="Q76" s="15" t="s">
        <v>33</v>
      </c>
      <c r="R76" s="15" t="s">
        <v>33</v>
      </c>
      <c r="S76" s="15" t="s">
        <v>33</v>
      </c>
      <c r="T76" s="15" t="s">
        <v>33</v>
      </c>
      <c r="U76" s="15">
        <f t="shared" si="29"/>
        <v>0.1166666667</v>
      </c>
      <c r="V76" s="20" t="s">
        <v>33</v>
      </c>
      <c r="W76" s="20" t="s">
        <v>33</v>
      </c>
      <c r="X76" s="20" t="s">
        <v>33</v>
      </c>
      <c r="Y76" s="20" t="s">
        <v>33</v>
      </c>
      <c r="Z76" s="20" t="s">
        <v>33</v>
      </c>
      <c r="AA76" s="20" t="s">
        <v>33</v>
      </c>
      <c r="AB76" s="20" t="s">
        <v>33</v>
      </c>
      <c r="AC76" s="20" t="s">
        <v>33</v>
      </c>
      <c r="AD76" s="15">
        <f t="shared" si="30"/>
        <v>0.1166666667</v>
      </c>
      <c r="AE76" s="15" t="s">
        <v>34</v>
      </c>
      <c r="AF76" s="15" t="s">
        <v>35</v>
      </c>
      <c r="AG76" s="15" t="s">
        <v>35</v>
      </c>
      <c r="AH76" s="15">
        <f t="shared" si="3"/>
        <v>10</v>
      </c>
      <c r="AI76" s="15"/>
      <c r="AJ76" s="15" t="s">
        <v>61</v>
      </c>
    </row>
    <row r="77" ht="15.75" customHeight="1">
      <c r="A77" s="15" t="s">
        <v>2229</v>
      </c>
      <c r="B77" s="23" t="s">
        <v>2579</v>
      </c>
      <c r="C77" s="15" t="s">
        <v>2580</v>
      </c>
      <c r="D77" s="15" t="s">
        <v>2581</v>
      </c>
      <c r="E77" s="15" t="s">
        <v>2582</v>
      </c>
      <c r="F77" s="15" t="s">
        <v>2583</v>
      </c>
      <c r="G77" s="15" t="s">
        <v>2584</v>
      </c>
      <c r="H77" s="15" t="s">
        <v>2585</v>
      </c>
      <c r="I77" s="15" t="s">
        <v>2586</v>
      </c>
      <c r="J77" s="15" t="s">
        <v>33</v>
      </c>
      <c r="K77" s="15" t="s">
        <v>2587</v>
      </c>
      <c r="L77" s="15" t="s">
        <v>33</v>
      </c>
      <c r="M77" s="15" t="s">
        <v>33</v>
      </c>
      <c r="N77" s="15" t="s">
        <v>33</v>
      </c>
      <c r="O77" s="15" t="s">
        <v>33</v>
      </c>
      <c r="P77" s="15" t="s">
        <v>33</v>
      </c>
      <c r="Q77" s="15" t="s">
        <v>33</v>
      </c>
      <c r="R77" s="15" t="s">
        <v>33</v>
      </c>
      <c r="S77" s="15" t="s">
        <v>33</v>
      </c>
      <c r="T77" s="15" t="s">
        <v>33</v>
      </c>
      <c r="U77" s="15">
        <f t="shared" si="29"/>
        <v>0.08333333333</v>
      </c>
      <c r="V77" s="15">
        <f>TEXT(F77-E77,"[mm]")/60</f>
        <v>127.25</v>
      </c>
      <c r="W77" s="15">
        <f>TEXT(H77-G77,"[mm]")/60</f>
        <v>150.5333333</v>
      </c>
      <c r="X77" s="20" t="s">
        <v>33</v>
      </c>
      <c r="Y77" s="20" t="s">
        <v>33</v>
      </c>
      <c r="Z77" s="20" t="s">
        <v>33</v>
      </c>
      <c r="AA77" s="20" t="s">
        <v>33</v>
      </c>
      <c r="AB77" s="20" t="s">
        <v>33</v>
      </c>
      <c r="AC77" s="20" t="s">
        <v>33</v>
      </c>
      <c r="AD77" s="15">
        <f t="shared" si="30"/>
        <v>92.62222222</v>
      </c>
      <c r="AE77" s="15" t="s">
        <v>34</v>
      </c>
      <c r="AF77" s="15" t="s">
        <v>35</v>
      </c>
      <c r="AG77" s="15" t="s">
        <v>35</v>
      </c>
      <c r="AH77" s="15">
        <f t="shared" si="3"/>
        <v>10</v>
      </c>
      <c r="AI77" s="15"/>
      <c r="AJ77" s="15" t="s">
        <v>61</v>
      </c>
    </row>
    <row r="78" ht="15.75" customHeight="1">
      <c r="A78" s="15" t="s">
        <v>2229</v>
      </c>
      <c r="B78" s="23" t="s">
        <v>2588</v>
      </c>
      <c r="C78" s="15" t="s">
        <v>2589</v>
      </c>
      <c r="D78" s="15" t="s">
        <v>33</v>
      </c>
      <c r="E78" s="15" t="s">
        <v>33</v>
      </c>
      <c r="F78" s="15" t="s">
        <v>33</v>
      </c>
      <c r="G78" s="15" t="s">
        <v>33</v>
      </c>
      <c r="H78" s="15" t="s">
        <v>33</v>
      </c>
      <c r="I78" s="15" t="s">
        <v>33</v>
      </c>
      <c r="J78" s="15" t="s">
        <v>33</v>
      </c>
      <c r="K78" s="15" t="s">
        <v>33</v>
      </c>
      <c r="L78" s="15" t="s">
        <v>33</v>
      </c>
      <c r="M78" s="15" t="s">
        <v>33</v>
      </c>
      <c r="N78" s="15" t="s">
        <v>33</v>
      </c>
      <c r="O78" s="15" t="s">
        <v>33</v>
      </c>
      <c r="P78" s="15" t="s">
        <v>33</v>
      </c>
      <c r="Q78" s="15" t="s">
        <v>33</v>
      </c>
      <c r="R78" s="15" t="s">
        <v>33</v>
      </c>
      <c r="S78" s="15" t="s">
        <v>33</v>
      </c>
      <c r="T78" s="15" t="s">
        <v>33</v>
      </c>
      <c r="U78" s="20" t="s">
        <v>33</v>
      </c>
      <c r="V78" s="20" t="s">
        <v>33</v>
      </c>
      <c r="W78" s="20" t="s">
        <v>33</v>
      </c>
      <c r="X78" s="20" t="s">
        <v>33</v>
      </c>
      <c r="Y78" s="20" t="s">
        <v>33</v>
      </c>
      <c r="Z78" s="20" t="s">
        <v>33</v>
      </c>
      <c r="AA78" s="20" t="s">
        <v>33</v>
      </c>
      <c r="AB78" s="20" t="s">
        <v>33</v>
      </c>
      <c r="AC78" s="20" t="s">
        <v>33</v>
      </c>
      <c r="AD78" s="20" t="s">
        <v>33</v>
      </c>
      <c r="AE78" s="15" t="s">
        <v>35</v>
      </c>
      <c r="AF78" s="15" t="s">
        <v>35</v>
      </c>
      <c r="AG78" s="15" t="s">
        <v>35</v>
      </c>
      <c r="AH78" s="15">
        <f t="shared" si="3"/>
        <v>-15</v>
      </c>
      <c r="AI78" s="15"/>
      <c r="AJ78" s="15" t="s">
        <v>61</v>
      </c>
    </row>
    <row r="79" ht="15.75" customHeight="1">
      <c r="A79" s="15" t="s">
        <v>2229</v>
      </c>
      <c r="B79" s="23" t="s">
        <v>2590</v>
      </c>
      <c r="C79" s="15" t="s">
        <v>2591</v>
      </c>
      <c r="D79" s="15" t="s">
        <v>2592</v>
      </c>
      <c r="E79" s="15" t="s">
        <v>33</v>
      </c>
      <c r="F79" s="15" t="s">
        <v>2593</v>
      </c>
      <c r="G79" s="15" t="s">
        <v>33</v>
      </c>
      <c r="H79" s="15" t="s">
        <v>33</v>
      </c>
      <c r="I79" s="15" t="s">
        <v>33</v>
      </c>
      <c r="J79" s="15" t="s">
        <v>33</v>
      </c>
      <c r="K79" s="15" t="s">
        <v>33</v>
      </c>
      <c r="L79" s="15" t="s">
        <v>33</v>
      </c>
      <c r="M79" s="15" t="s">
        <v>33</v>
      </c>
      <c r="N79" s="15" t="s">
        <v>33</v>
      </c>
      <c r="O79" s="15" t="s">
        <v>33</v>
      </c>
      <c r="P79" s="15" t="s">
        <v>33</v>
      </c>
      <c r="Q79" s="15" t="s">
        <v>33</v>
      </c>
      <c r="R79" s="15" t="s">
        <v>33</v>
      </c>
      <c r="S79" s="15" t="s">
        <v>33</v>
      </c>
      <c r="T79" s="15" t="s">
        <v>33</v>
      </c>
      <c r="U79" s="15">
        <f t="shared" ref="U79:U83" si="31">TEXT(D79-C79,"[mm]")/60</f>
        <v>0.6833333333</v>
      </c>
      <c r="V79" s="20" t="s">
        <v>33</v>
      </c>
      <c r="W79" s="20" t="s">
        <v>33</v>
      </c>
      <c r="X79" s="20" t="s">
        <v>33</v>
      </c>
      <c r="Y79" s="20" t="s">
        <v>33</v>
      </c>
      <c r="Z79" s="20" t="s">
        <v>33</v>
      </c>
      <c r="AA79" s="20" t="s">
        <v>33</v>
      </c>
      <c r="AB79" s="20" t="s">
        <v>33</v>
      </c>
      <c r="AC79" s="20" t="s">
        <v>33</v>
      </c>
      <c r="AD79" s="15">
        <f t="shared" ref="AD79:AD83" si="32">AVERAGE(U79:AC79)</f>
        <v>0.6833333333</v>
      </c>
      <c r="AE79" s="15" t="s">
        <v>34</v>
      </c>
      <c r="AF79" s="15" t="s">
        <v>35</v>
      </c>
      <c r="AG79" s="15" t="s">
        <v>35</v>
      </c>
      <c r="AH79" s="15">
        <f t="shared" si="3"/>
        <v>10</v>
      </c>
      <c r="AI79" s="15"/>
      <c r="AJ79" s="15" t="s">
        <v>61</v>
      </c>
    </row>
    <row r="80" ht="15.75" customHeight="1">
      <c r="A80" s="15" t="s">
        <v>2229</v>
      </c>
      <c r="B80" s="23" t="s">
        <v>2594</v>
      </c>
      <c r="C80" s="15" t="s">
        <v>2595</v>
      </c>
      <c r="D80" s="15" t="s">
        <v>871</v>
      </c>
      <c r="E80" s="15" t="s">
        <v>33</v>
      </c>
      <c r="F80" s="15" t="s">
        <v>33</v>
      </c>
      <c r="G80" s="15" t="s">
        <v>33</v>
      </c>
      <c r="H80" s="15" t="s">
        <v>33</v>
      </c>
      <c r="I80" s="15" t="s">
        <v>33</v>
      </c>
      <c r="J80" s="15" t="s">
        <v>33</v>
      </c>
      <c r="K80" s="15" t="s">
        <v>33</v>
      </c>
      <c r="L80" s="15" t="s">
        <v>33</v>
      </c>
      <c r="M80" s="15" t="s">
        <v>33</v>
      </c>
      <c r="N80" s="15" t="s">
        <v>33</v>
      </c>
      <c r="O80" s="15" t="s">
        <v>33</v>
      </c>
      <c r="P80" s="15" t="s">
        <v>33</v>
      </c>
      <c r="Q80" s="15" t="s">
        <v>33</v>
      </c>
      <c r="R80" s="15" t="s">
        <v>33</v>
      </c>
      <c r="S80" s="15" t="s">
        <v>33</v>
      </c>
      <c r="T80" s="15" t="s">
        <v>33</v>
      </c>
      <c r="U80" s="15">
        <f t="shared" si="31"/>
        <v>0.06666666667</v>
      </c>
      <c r="V80" s="20" t="s">
        <v>33</v>
      </c>
      <c r="W80" s="20" t="s">
        <v>33</v>
      </c>
      <c r="X80" s="20" t="s">
        <v>33</v>
      </c>
      <c r="Y80" s="20" t="s">
        <v>33</v>
      </c>
      <c r="Z80" s="20" t="s">
        <v>33</v>
      </c>
      <c r="AA80" s="20" t="s">
        <v>33</v>
      </c>
      <c r="AB80" s="20" t="s">
        <v>33</v>
      </c>
      <c r="AC80" s="20" t="s">
        <v>33</v>
      </c>
      <c r="AD80" s="15">
        <f t="shared" si="32"/>
        <v>0.06666666667</v>
      </c>
      <c r="AE80" s="15" t="s">
        <v>34</v>
      </c>
      <c r="AF80" s="15" t="s">
        <v>35</v>
      </c>
      <c r="AG80" s="15" t="s">
        <v>35</v>
      </c>
      <c r="AH80" s="15">
        <f t="shared" si="3"/>
        <v>10</v>
      </c>
      <c r="AI80" s="15"/>
      <c r="AJ80" s="15" t="s">
        <v>61</v>
      </c>
    </row>
    <row r="81" ht="15.75" customHeight="1">
      <c r="A81" s="15" t="s">
        <v>2229</v>
      </c>
      <c r="B81" s="23" t="s">
        <v>2596</v>
      </c>
      <c r="C81" s="15" t="s">
        <v>2597</v>
      </c>
      <c r="D81" s="15" t="s">
        <v>912</v>
      </c>
      <c r="E81" s="15" t="s">
        <v>33</v>
      </c>
      <c r="F81" s="15" t="s">
        <v>33</v>
      </c>
      <c r="G81" s="15" t="s">
        <v>33</v>
      </c>
      <c r="H81" s="15" t="s">
        <v>33</v>
      </c>
      <c r="I81" s="15" t="s">
        <v>33</v>
      </c>
      <c r="J81" s="15" t="s">
        <v>33</v>
      </c>
      <c r="K81" s="15" t="s">
        <v>33</v>
      </c>
      <c r="L81" s="15" t="s">
        <v>33</v>
      </c>
      <c r="M81" s="15" t="s">
        <v>33</v>
      </c>
      <c r="N81" s="15" t="s">
        <v>33</v>
      </c>
      <c r="O81" s="15" t="s">
        <v>33</v>
      </c>
      <c r="P81" s="15" t="s">
        <v>33</v>
      </c>
      <c r="Q81" s="15" t="s">
        <v>33</v>
      </c>
      <c r="R81" s="15" t="s">
        <v>33</v>
      </c>
      <c r="S81" s="15" t="s">
        <v>33</v>
      </c>
      <c r="T81" s="15" t="s">
        <v>33</v>
      </c>
      <c r="U81" s="15">
        <f t="shared" si="31"/>
        <v>0.1333333333</v>
      </c>
      <c r="V81" s="20" t="s">
        <v>33</v>
      </c>
      <c r="W81" s="20" t="s">
        <v>33</v>
      </c>
      <c r="X81" s="20" t="s">
        <v>33</v>
      </c>
      <c r="Y81" s="20" t="s">
        <v>33</v>
      </c>
      <c r="Z81" s="20" t="s">
        <v>33</v>
      </c>
      <c r="AA81" s="20" t="s">
        <v>33</v>
      </c>
      <c r="AB81" s="20" t="s">
        <v>33</v>
      </c>
      <c r="AC81" s="20" t="s">
        <v>33</v>
      </c>
      <c r="AD81" s="15">
        <f t="shared" si="32"/>
        <v>0.1333333333</v>
      </c>
      <c r="AE81" s="15" t="s">
        <v>34</v>
      </c>
      <c r="AF81" s="15" t="s">
        <v>35</v>
      </c>
      <c r="AG81" s="15" t="s">
        <v>35</v>
      </c>
      <c r="AH81" s="15">
        <f t="shared" si="3"/>
        <v>10</v>
      </c>
      <c r="AI81" s="15"/>
      <c r="AJ81" s="15" t="s">
        <v>61</v>
      </c>
    </row>
    <row r="82" ht="15.75" customHeight="1">
      <c r="A82" s="15" t="s">
        <v>2229</v>
      </c>
      <c r="B82" s="23" t="s">
        <v>2598</v>
      </c>
      <c r="C82" s="15" t="s">
        <v>2599</v>
      </c>
      <c r="D82" s="15" t="s">
        <v>2600</v>
      </c>
      <c r="E82" s="15" t="s">
        <v>2601</v>
      </c>
      <c r="F82" s="15" t="s">
        <v>2602</v>
      </c>
      <c r="G82" s="19">
        <v>46129.782638888886</v>
      </c>
      <c r="H82" s="19">
        <v>46129.82430555556</v>
      </c>
      <c r="I82" s="15" t="s">
        <v>2603</v>
      </c>
      <c r="J82" s="15" t="s">
        <v>2604</v>
      </c>
      <c r="K82" s="15" t="s">
        <v>2605</v>
      </c>
      <c r="L82" s="15" t="s">
        <v>33</v>
      </c>
      <c r="M82" s="15" t="s">
        <v>2606</v>
      </c>
      <c r="N82" s="15" t="s">
        <v>33</v>
      </c>
      <c r="O82" s="15" t="s">
        <v>33</v>
      </c>
      <c r="P82" s="15" t="s">
        <v>33</v>
      </c>
      <c r="Q82" s="15" t="s">
        <v>33</v>
      </c>
      <c r="R82" s="15" t="s">
        <v>33</v>
      </c>
      <c r="S82" s="15" t="s">
        <v>33</v>
      </c>
      <c r="T82" s="15" t="s">
        <v>33</v>
      </c>
      <c r="U82" s="15">
        <f t="shared" si="31"/>
        <v>2.633333333</v>
      </c>
      <c r="V82" s="15">
        <f>TEXT(F82-E82,"[mm]")/60</f>
        <v>0.03333333333</v>
      </c>
      <c r="W82" s="15">
        <f>TEXT(H82-G82,"[mm]")/60</f>
        <v>1</v>
      </c>
      <c r="X82" s="15">
        <f>TEXT(J82-I82,"[mm]")/60</f>
        <v>0.05</v>
      </c>
      <c r="Y82" s="20" t="s">
        <v>33</v>
      </c>
      <c r="Z82" s="20" t="s">
        <v>33</v>
      </c>
      <c r="AA82" s="20" t="s">
        <v>33</v>
      </c>
      <c r="AB82" s="20" t="s">
        <v>33</v>
      </c>
      <c r="AC82" s="20" t="s">
        <v>33</v>
      </c>
      <c r="AD82" s="15">
        <f t="shared" si="32"/>
        <v>0.9291666667</v>
      </c>
      <c r="AE82" s="15" t="s">
        <v>34</v>
      </c>
      <c r="AF82" s="15" t="s">
        <v>35</v>
      </c>
      <c r="AG82" s="15" t="s">
        <v>35</v>
      </c>
      <c r="AH82" s="15">
        <f t="shared" si="3"/>
        <v>10</v>
      </c>
      <c r="AI82" s="15"/>
      <c r="AJ82" s="15" t="s">
        <v>61</v>
      </c>
    </row>
    <row r="83" ht="15.75" customHeight="1">
      <c r="A83" s="15" t="s">
        <v>2229</v>
      </c>
      <c r="B83" s="23" t="s">
        <v>2607</v>
      </c>
      <c r="C83" s="15" t="s">
        <v>2608</v>
      </c>
      <c r="D83" s="15" t="s">
        <v>2609</v>
      </c>
      <c r="E83" s="15" t="s">
        <v>33</v>
      </c>
      <c r="F83" s="15" t="s">
        <v>33</v>
      </c>
      <c r="G83" s="15" t="s">
        <v>33</v>
      </c>
      <c r="H83" s="15" t="s">
        <v>33</v>
      </c>
      <c r="I83" s="15" t="s">
        <v>33</v>
      </c>
      <c r="J83" s="15" t="s">
        <v>33</v>
      </c>
      <c r="K83" s="15" t="s">
        <v>33</v>
      </c>
      <c r="L83" s="15" t="s">
        <v>33</v>
      </c>
      <c r="M83" s="15" t="s">
        <v>33</v>
      </c>
      <c r="N83" s="15" t="s">
        <v>33</v>
      </c>
      <c r="O83" s="15" t="s">
        <v>33</v>
      </c>
      <c r="P83" s="15" t="s">
        <v>33</v>
      </c>
      <c r="Q83" s="15" t="s">
        <v>33</v>
      </c>
      <c r="R83" s="15" t="s">
        <v>33</v>
      </c>
      <c r="S83" s="15" t="s">
        <v>33</v>
      </c>
      <c r="T83" s="15" t="s">
        <v>33</v>
      </c>
      <c r="U83" s="15">
        <f t="shared" si="31"/>
        <v>3.183333333</v>
      </c>
      <c r="V83" s="20" t="s">
        <v>33</v>
      </c>
      <c r="W83" s="20" t="s">
        <v>33</v>
      </c>
      <c r="X83" s="20" t="s">
        <v>33</v>
      </c>
      <c r="Y83" s="20" t="s">
        <v>33</v>
      </c>
      <c r="Z83" s="20" t="s">
        <v>33</v>
      </c>
      <c r="AA83" s="20" t="s">
        <v>33</v>
      </c>
      <c r="AB83" s="20" t="s">
        <v>33</v>
      </c>
      <c r="AC83" s="20" t="s">
        <v>33</v>
      </c>
      <c r="AD83" s="15">
        <f t="shared" si="32"/>
        <v>3.183333333</v>
      </c>
      <c r="AE83" s="15" t="s">
        <v>34</v>
      </c>
      <c r="AF83" s="15" t="s">
        <v>35</v>
      </c>
      <c r="AG83" s="15" t="s">
        <v>35</v>
      </c>
      <c r="AH83" s="15">
        <f t="shared" si="3"/>
        <v>10</v>
      </c>
      <c r="AI83" s="15"/>
      <c r="AJ83" s="15" t="s">
        <v>61</v>
      </c>
    </row>
    <row r="84" ht="15.75" customHeight="1">
      <c r="A84" s="15" t="s">
        <v>2229</v>
      </c>
      <c r="B84" s="23" t="s">
        <v>2610</v>
      </c>
      <c r="C84" s="15" t="s">
        <v>2611</v>
      </c>
      <c r="D84" s="15" t="s">
        <v>33</v>
      </c>
      <c r="E84" s="15" t="s">
        <v>33</v>
      </c>
      <c r="F84" s="15" t="s">
        <v>33</v>
      </c>
      <c r="G84" s="15" t="s">
        <v>33</v>
      </c>
      <c r="H84" s="15" t="s">
        <v>33</v>
      </c>
      <c r="I84" s="15" t="s">
        <v>33</v>
      </c>
      <c r="J84" s="15" t="s">
        <v>33</v>
      </c>
      <c r="K84" s="15" t="s">
        <v>33</v>
      </c>
      <c r="L84" s="15" t="s">
        <v>33</v>
      </c>
      <c r="M84" s="15" t="s">
        <v>33</v>
      </c>
      <c r="N84" s="15" t="s">
        <v>33</v>
      </c>
      <c r="O84" s="15" t="s">
        <v>33</v>
      </c>
      <c r="P84" s="15" t="s">
        <v>33</v>
      </c>
      <c r="Q84" s="15" t="s">
        <v>33</v>
      </c>
      <c r="R84" s="15" t="s">
        <v>33</v>
      </c>
      <c r="S84" s="15" t="s">
        <v>33</v>
      </c>
      <c r="T84" s="15" t="s">
        <v>33</v>
      </c>
      <c r="U84" s="20" t="s">
        <v>33</v>
      </c>
      <c r="V84" s="20" t="s">
        <v>33</v>
      </c>
      <c r="W84" s="20" t="s">
        <v>33</v>
      </c>
      <c r="X84" s="20" t="s">
        <v>33</v>
      </c>
      <c r="Y84" s="20" t="s">
        <v>33</v>
      </c>
      <c r="Z84" s="20" t="s">
        <v>33</v>
      </c>
      <c r="AA84" s="20" t="s">
        <v>33</v>
      </c>
      <c r="AB84" s="20" t="s">
        <v>33</v>
      </c>
      <c r="AC84" s="20" t="s">
        <v>33</v>
      </c>
      <c r="AD84" s="20" t="s">
        <v>33</v>
      </c>
      <c r="AE84" s="15" t="s">
        <v>35</v>
      </c>
      <c r="AF84" s="15" t="s">
        <v>35</v>
      </c>
      <c r="AG84" s="15" t="s">
        <v>35</v>
      </c>
      <c r="AH84" s="15">
        <f t="shared" si="3"/>
        <v>-15</v>
      </c>
      <c r="AI84" s="15"/>
      <c r="AJ84" s="15" t="s">
        <v>61</v>
      </c>
    </row>
    <row r="85" ht="15.75" customHeight="1">
      <c r="A85" s="15" t="s">
        <v>2229</v>
      </c>
      <c r="B85" s="23" t="s">
        <v>2612</v>
      </c>
      <c r="C85" s="15" t="s">
        <v>2613</v>
      </c>
      <c r="D85" s="15" t="s">
        <v>2614</v>
      </c>
      <c r="E85" s="15" t="s">
        <v>33</v>
      </c>
      <c r="F85" s="15" t="s">
        <v>2615</v>
      </c>
      <c r="G85" s="15" t="s">
        <v>33</v>
      </c>
      <c r="H85" s="15" t="s">
        <v>33</v>
      </c>
      <c r="I85" s="15" t="s">
        <v>33</v>
      </c>
      <c r="J85" s="15" t="s">
        <v>33</v>
      </c>
      <c r="K85" s="15" t="s">
        <v>33</v>
      </c>
      <c r="L85" s="15" t="s">
        <v>33</v>
      </c>
      <c r="M85" s="15" t="s">
        <v>33</v>
      </c>
      <c r="N85" s="15" t="s">
        <v>33</v>
      </c>
      <c r="O85" s="15" t="s">
        <v>33</v>
      </c>
      <c r="P85" s="15" t="s">
        <v>33</v>
      </c>
      <c r="Q85" s="15" t="s">
        <v>33</v>
      </c>
      <c r="R85" s="15" t="s">
        <v>33</v>
      </c>
      <c r="S85" s="15" t="s">
        <v>33</v>
      </c>
      <c r="T85" s="15" t="s">
        <v>33</v>
      </c>
      <c r="U85" s="15">
        <f t="shared" ref="U85:U88" si="33">TEXT(D85-C85,"[mm]")/60</f>
        <v>14.45</v>
      </c>
      <c r="V85" s="20" t="s">
        <v>33</v>
      </c>
      <c r="W85" s="20" t="s">
        <v>33</v>
      </c>
      <c r="X85" s="20" t="s">
        <v>33</v>
      </c>
      <c r="Y85" s="20" t="s">
        <v>33</v>
      </c>
      <c r="Z85" s="20" t="s">
        <v>33</v>
      </c>
      <c r="AA85" s="20" t="s">
        <v>33</v>
      </c>
      <c r="AB85" s="20" t="s">
        <v>33</v>
      </c>
      <c r="AC85" s="20" t="s">
        <v>33</v>
      </c>
      <c r="AD85" s="15">
        <f t="shared" ref="AD85:AD88" si="34">AVERAGE(U85:AC85)</f>
        <v>14.45</v>
      </c>
      <c r="AE85" s="15" t="s">
        <v>34</v>
      </c>
      <c r="AF85" s="15" t="s">
        <v>35</v>
      </c>
      <c r="AG85" s="15" t="s">
        <v>35</v>
      </c>
      <c r="AH85" s="15">
        <f t="shared" si="3"/>
        <v>10</v>
      </c>
      <c r="AI85" s="15"/>
      <c r="AJ85" s="15" t="s">
        <v>61</v>
      </c>
    </row>
    <row r="86" ht="15.75" customHeight="1">
      <c r="A86" s="15" t="s">
        <v>2229</v>
      </c>
      <c r="B86" s="23" t="s">
        <v>2616</v>
      </c>
      <c r="C86" s="15" t="s">
        <v>2617</v>
      </c>
      <c r="D86" s="15" t="s">
        <v>1108</v>
      </c>
      <c r="E86" s="15" t="s">
        <v>33</v>
      </c>
      <c r="F86" s="15" t="s">
        <v>33</v>
      </c>
      <c r="G86" s="15" t="s">
        <v>33</v>
      </c>
      <c r="H86" s="15" t="s">
        <v>33</v>
      </c>
      <c r="I86" s="15" t="s">
        <v>33</v>
      </c>
      <c r="J86" s="15" t="s">
        <v>33</v>
      </c>
      <c r="K86" s="15" t="s">
        <v>33</v>
      </c>
      <c r="L86" s="15" t="s">
        <v>33</v>
      </c>
      <c r="M86" s="15" t="s">
        <v>33</v>
      </c>
      <c r="N86" s="15" t="s">
        <v>33</v>
      </c>
      <c r="O86" s="15" t="s">
        <v>33</v>
      </c>
      <c r="P86" s="15" t="s">
        <v>33</v>
      </c>
      <c r="Q86" s="15" t="s">
        <v>33</v>
      </c>
      <c r="R86" s="15" t="s">
        <v>33</v>
      </c>
      <c r="S86" s="15" t="s">
        <v>33</v>
      </c>
      <c r="T86" s="15" t="s">
        <v>33</v>
      </c>
      <c r="U86" s="15">
        <f t="shared" si="33"/>
        <v>16.7</v>
      </c>
      <c r="V86" s="20" t="s">
        <v>33</v>
      </c>
      <c r="W86" s="20" t="s">
        <v>33</v>
      </c>
      <c r="X86" s="20" t="s">
        <v>33</v>
      </c>
      <c r="Y86" s="20" t="s">
        <v>33</v>
      </c>
      <c r="Z86" s="20" t="s">
        <v>33</v>
      </c>
      <c r="AA86" s="20" t="s">
        <v>33</v>
      </c>
      <c r="AB86" s="20" t="s">
        <v>33</v>
      </c>
      <c r="AC86" s="20" t="s">
        <v>33</v>
      </c>
      <c r="AD86" s="15">
        <f t="shared" si="34"/>
        <v>16.7</v>
      </c>
      <c r="AE86" s="15" t="s">
        <v>34</v>
      </c>
      <c r="AF86" s="15" t="s">
        <v>35</v>
      </c>
      <c r="AG86" s="15" t="s">
        <v>35</v>
      </c>
      <c r="AH86" s="15">
        <f t="shared" si="3"/>
        <v>10</v>
      </c>
      <c r="AI86" s="15"/>
      <c r="AJ86" s="15" t="s">
        <v>61</v>
      </c>
    </row>
    <row r="87" ht="15.75" customHeight="1">
      <c r="A87" s="15" t="s">
        <v>2229</v>
      </c>
      <c r="B87" s="23" t="s">
        <v>2618</v>
      </c>
      <c r="C87" s="15" t="s">
        <v>2619</v>
      </c>
      <c r="D87" s="15" t="s">
        <v>2620</v>
      </c>
      <c r="E87" s="15" t="s">
        <v>2621</v>
      </c>
      <c r="F87" s="15" t="s">
        <v>2622</v>
      </c>
      <c r="G87" s="15" t="s">
        <v>2623</v>
      </c>
      <c r="H87" s="15" t="s">
        <v>2624</v>
      </c>
      <c r="I87" s="15" t="s">
        <v>2625</v>
      </c>
      <c r="J87" s="15" t="s">
        <v>33</v>
      </c>
      <c r="K87" s="15" t="s">
        <v>33</v>
      </c>
      <c r="L87" s="15" t="s">
        <v>33</v>
      </c>
      <c r="M87" s="15" t="s">
        <v>33</v>
      </c>
      <c r="N87" s="15" t="s">
        <v>33</v>
      </c>
      <c r="O87" s="15" t="s">
        <v>33</v>
      </c>
      <c r="P87" s="15" t="s">
        <v>33</v>
      </c>
      <c r="Q87" s="15" t="s">
        <v>33</v>
      </c>
      <c r="R87" s="15" t="s">
        <v>33</v>
      </c>
      <c r="S87" s="15" t="s">
        <v>33</v>
      </c>
      <c r="T87" s="15" t="s">
        <v>33</v>
      </c>
      <c r="U87" s="15">
        <f t="shared" si="33"/>
        <v>0.55</v>
      </c>
      <c r="V87" s="15">
        <f t="shared" ref="V87:V88" si="35">TEXT(F87-E87,"[mm]")/60</f>
        <v>16.6</v>
      </c>
      <c r="W87" s="15">
        <f t="shared" ref="W87:W88" si="36">TEXT(H87-G87,"[mm]")/60</f>
        <v>80.48333333</v>
      </c>
      <c r="X87" s="20" t="s">
        <v>33</v>
      </c>
      <c r="Y87" s="20" t="s">
        <v>33</v>
      </c>
      <c r="Z87" s="20" t="s">
        <v>33</v>
      </c>
      <c r="AA87" s="20" t="s">
        <v>33</v>
      </c>
      <c r="AB87" s="20" t="s">
        <v>33</v>
      </c>
      <c r="AC87" s="20" t="s">
        <v>33</v>
      </c>
      <c r="AD87" s="15">
        <f t="shared" si="34"/>
        <v>32.54444444</v>
      </c>
      <c r="AE87" s="15" t="s">
        <v>34</v>
      </c>
      <c r="AF87" s="15" t="s">
        <v>35</v>
      </c>
      <c r="AG87" s="15" t="s">
        <v>35</v>
      </c>
      <c r="AH87" s="15">
        <f t="shared" si="3"/>
        <v>10</v>
      </c>
      <c r="AI87" s="15"/>
      <c r="AJ87" s="15" t="s">
        <v>61</v>
      </c>
    </row>
    <row r="88" ht="15.75" customHeight="1">
      <c r="A88" s="15" t="s">
        <v>2229</v>
      </c>
      <c r="B88" s="23" t="s">
        <v>2626</v>
      </c>
      <c r="C88" s="15" t="s">
        <v>2627</v>
      </c>
      <c r="D88" s="15" t="s">
        <v>2628</v>
      </c>
      <c r="E88" s="15" t="s">
        <v>2629</v>
      </c>
      <c r="F88" s="15" t="s">
        <v>2630</v>
      </c>
      <c r="G88" s="15" t="s">
        <v>2631</v>
      </c>
      <c r="H88" s="15" t="s">
        <v>2632</v>
      </c>
      <c r="I88" s="15" t="s">
        <v>2633</v>
      </c>
      <c r="J88" s="15" t="s">
        <v>33</v>
      </c>
      <c r="K88" s="15" t="s">
        <v>2634</v>
      </c>
      <c r="L88" s="15" t="s">
        <v>33</v>
      </c>
      <c r="M88" s="15" t="s">
        <v>33</v>
      </c>
      <c r="N88" s="15" t="s">
        <v>33</v>
      </c>
      <c r="O88" s="15" t="s">
        <v>33</v>
      </c>
      <c r="P88" s="15" t="s">
        <v>33</v>
      </c>
      <c r="Q88" s="15" t="s">
        <v>33</v>
      </c>
      <c r="R88" s="15" t="s">
        <v>33</v>
      </c>
      <c r="S88" s="15" t="s">
        <v>33</v>
      </c>
      <c r="T88" s="15" t="s">
        <v>33</v>
      </c>
      <c r="U88" s="15">
        <f t="shared" si="33"/>
        <v>0.2333333333</v>
      </c>
      <c r="V88" s="15">
        <f t="shared" si="35"/>
        <v>0.01666666667</v>
      </c>
      <c r="W88" s="15">
        <f t="shared" si="36"/>
        <v>101.3333333</v>
      </c>
      <c r="X88" s="20" t="s">
        <v>33</v>
      </c>
      <c r="Y88" s="20" t="s">
        <v>33</v>
      </c>
      <c r="Z88" s="20" t="s">
        <v>33</v>
      </c>
      <c r="AA88" s="20" t="s">
        <v>33</v>
      </c>
      <c r="AB88" s="20" t="s">
        <v>33</v>
      </c>
      <c r="AC88" s="20" t="s">
        <v>33</v>
      </c>
      <c r="AD88" s="15">
        <f t="shared" si="34"/>
        <v>33.86111111</v>
      </c>
      <c r="AE88" s="15" t="s">
        <v>34</v>
      </c>
      <c r="AF88" s="15" t="s">
        <v>35</v>
      </c>
      <c r="AG88" s="15" t="s">
        <v>35</v>
      </c>
      <c r="AH88" s="15">
        <f t="shared" si="3"/>
        <v>10</v>
      </c>
      <c r="AI88" s="15"/>
      <c r="AJ88" s="15" t="s">
        <v>61</v>
      </c>
    </row>
    <row r="89" ht="15.75" customHeight="1">
      <c r="A89" s="15" t="s">
        <v>2229</v>
      </c>
      <c r="B89" s="23" t="s">
        <v>2635</v>
      </c>
      <c r="C89" s="15" t="s">
        <v>2636</v>
      </c>
      <c r="D89" s="15" t="s">
        <v>33</v>
      </c>
      <c r="E89" s="15" t="s">
        <v>33</v>
      </c>
      <c r="F89" s="15" t="s">
        <v>33</v>
      </c>
      <c r="G89" s="15" t="s">
        <v>33</v>
      </c>
      <c r="H89" s="15" t="s">
        <v>33</v>
      </c>
      <c r="I89" s="15" t="s">
        <v>33</v>
      </c>
      <c r="J89" s="15" t="s">
        <v>33</v>
      </c>
      <c r="K89" s="15" t="s">
        <v>33</v>
      </c>
      <c r="L89" s="15" t="s">
        <v>33</v>
      </c>
      <c r="M89" s="15" t="s">
        <v>33</v>
      </c>
      <c r="N89" s="15" t="s">
        <v>33</v>
      </c>
      <c r="O89" s="15" t="s">
        <v>33</v>
      </c>
      <c r="P89" s="15" t="s">
        <v>33</v>
      </c>
      <c r="Q89" s="15" t="s">
        <v>33</v>
      </c>
      <c r="R89" s="15" t="s">
        <v>33</v>
      </c>
      <c r="S89" s="15" t="s">
        <v>33</v>
      </c>
      <c r="T89" s="15" t="s">
        <v>33</v>
      </c>
      <c r="U89" s="20" t="s">
        <v>33</v>
      </c>
      <c r="V89" s="20" t="s">
        <v>33</v>
      </c>
      <c r="W89" s="20" t="s">
        <v>33</v>
      </c>
      <c r="X89" s="20" t="s">
        <v>33</v>
      </c>
      <c r="Y89" s="20" t="s">
        <v>33</v>
      </c>
      <c r="Z89" s="20" t="s">
        <v>33</v>
      </c>
      <c r="AA89" s="20" t="s">
        <v>33</v>
      </c>
      <c r="AB89" s="20" t="s">
        <v>33</v>
      </c>
      <c r="AC89" s="20" t="s">
        <v>33</v>
      </c>
      <c r="AD89" s="20" t="s">
        <v>33</v>
      </c>
      <c r="AE89" s="15" t="s">
        <v>35</v>
      </c>
      <c r="AF89" s="15" t="s">
        <v>35</v>
      </c>
      <c r="AG89" s="15" t="s">
        <v>35</v>
      </c>
      <c r="AH89" s="15">
        <f t="shared" si="3"/>
        <v>-15</v>
      </c>
      <c r="AI89" s="15"/>
      <c r="AJ89" s="15" t="s">
        <v>61</v>
      </c>
    </row>
    <row r="90" ht="15.75" customHeight="1">
      <c r="A90" s="15" t="s">
        <v>2229</v>
      </c>
      <c r="B90" s="23" t="s">
        <v>2637</v>
      </c>
      <c r="C90" s="15" t="s">
        <v>2638</v>
      </c>
      <c r="D90" s="15" t="s">
        <v>2639</v>
      </c>
      <c r="E90" s="15" t="s">
        <v>2640</v>
      </c>
      <c r="F90" s="15" t="s">
        <v>1741</v>
      </c>
      <c r="G90" s="15" t="s">
        <v>33</v>
      </c>
      <c r="H90" s="15" t="s">
        <v>33</v>
      </c>
      <c r="I90" s="15" t="s">
        <v>33</v>
      </c>
      <c r="J90" s="15" t="s">
        <v>33</v>
      </c>
      <c r="K90" s="15" t="s">
        <v>33</v>
      </c>
      <c r="L90" s="15" t="s">
        <v>33</v>
      </c>
      <c r="M90" s="15" t="s">
        <v>33</v>
      </c>
      <c r="N90" s="15" t="s">
        <v>33</v>
      </c>
      <c r="O90" s="15" t="s">
        <v>33</v>
      </c>
      <c r="P90" s="15" t="s">
        <v>33</v>
      </c>
      <c r="Q90" s="15" t="s">
        <v>33</v>
      </c>
      <c r="R90" s="15" t="s">
        <v>33</v>
      </c>
      <c r="S90" s="15" t="s">
        <v>33</v>
      </c>
      <c r="T90" s="15" t="s">
        <v>33</v>
      </c>
      <c r="U90" s="15">
        <f t="shared" ref="U90:U91" si="37">TEXT(D90-C90,"[mm]")/60</f>
        <v>14.58333333</v>
      </c>
      <c r="V90" s="15">
        <f>TEXT(F90-E90,"[mm]")/60</f>
        <v>162.9</v>
      </c>
      <c r="W90" s="20" t="s">
        <v>33</v>
      </c>
      <c r="X90" s="20" t="s">
        <v>33</v>
      </c>
      <c r="Y90" s="20" t="s">
        <v>33</v>
      </c>
      <c r="Z90" s="20" t="s">
        <v>33</v>
      </c>
      <c r="AA90" s="20" t="s">
        <v>33</v>
      </c>
      <c r="AB90" s="20" t="s">
        <v>33</v>
      </c>
      <c r="AC90" s="20" t="s">
        <v>33</v>
      </c>
      <c r="AD90" s="15">
        <f t="shared" ref="AD90:AD91" si="38">AVERAGE(U90:AC90)</f>
        <v>88.74166667</v>
      </c>
      <c r="AE90" s="15" t="s">
        <v>34</v>
      </c>
      <c r="AF90" s="15" t="s">
        <v>35</v>
      </c>
      <c r="AG90" s="15" t="s">
        <v>35</v>
      </c>
      <c r="AH90" s="15">
        <f t="shared" si="3"/>
        <v>10</v>
      </c>
      <c r="AI90" s="15"/>
      <c r="AJ90" s="15" t="s">
        <v>61</v>
      </c>
    </row>
    <row r="91" ht="15.75" customHeight="1">
      <c r="A91" s="15" t="s">
        <v>2229</v>
      </c>
      <c r="B91" s="23" t="s">
        <v>2641</v>
      </c>
      <c r="C91" s="15" t="s">
        <v>947</v>
      </c>
      <c r="D91" s="15" t="s">
        <v>2642</v>
      </c>
      <c r="E91" s="15" t="s">
        <v>33</v>
      </c>
      <c r="F91" s="15" t="s">
        <v>33</v>
      </c>
      <c r="G91" s="15" t="s">
        <v>33</v>
      </c>
      <c r="H91" s="15" t="s">
        <v>33</v>
      </c>
      <c r="I91" s="15" t="s">
        <v>33</v>
      </c>
      <c r="J91" s="15" t="s">
        <v>33</v>
      </c>
      <c r="K91" s="15" t="s">
        <v>33</v>
      </c>
      <c r="L91" s="15" t="s">
        <v>33</v>
      </c>
      <c r="M91" s="15" t="s">
        <v>33</v>
      </c>
      <c r="N91" s="15" t="s">
        <v>33</v>
      </c>
      <c r="O91" s="15" t="s">
        <v>33</v>
      </c>
      <c r="P91" s="15" t="s">
        <v>33</v>
      </c>
      <c r="Q91" s="15" t="s">
        <v>33</v>
      </c>
      <c r="R91" s="15" t="s">
        <v>33</v>
      </c>
      <c r="S91" s="15" t="s">
        <v>33</v>
      </c>
      <c r="T91" s="15" t="s">
        <v>33</v>
      </c>
      <c r="U91" s="15">
        <f t="shared" si="37"/>
        <v>0.06666666667</v>
      </c>
      <c r="V91" s="20" t="s">
        <v>33</v>
      </c>
      <c r="W91" s="20" t="s">
        <v>33</v>
      </c>
      <c r="X91" s="20" t="s">
        <v>33</v>
      </c>
      <c r="Y91" s="20" t="s">
        <v>33</v>
      </c>
      <c r="Z91" s="20" t="s">
        <v>33</v>
      </c>
      <c r="AA91" s="20" t="s">
        <v>33</v>
      </c>
      <c r="AB91" s="20" t="s">
        <v>33</v>
      </c>
      <c r="AC91" s="20" t="s">
        <v>33</v>
      </c>
      <c r="AD91" s="15">
        <f t="shared" si="38"/>
        <v>0.06666666667</v>
      </c>
      <c r="AE91" s="15" t="s">
        <v>34</v>
      </c>
      <c r="AF91" s="15" t="s">
        <v>35</v>
      </c>
      <c r="AG91" s="15" t="s">
        <v>35</v>
      </c>
      <c r="AH91" s="15">
        <f t="shared" si="3"/>
        <v>10</v>
      </c>
      <c r="AI91" s="15"/>
      <c r="AJ91" s="15" t="s">
        <v>61</v>
      </c>
    </row>
    <row r="92" ht="15.75" customHeight="1">
      <c r="A92" s="15" t="s">
        <v>2229</v>
      </c>
      <c r="B92" s="23" t="s">
        <v>2643</v>
      </c>
      <c r="C92" s="15" t="s">
        <v>2644</v>
      </c>
      <c r="D92" s="15" t="s">
        <v>33</v>
      </c>
      <c r="E92" s="15" t="s">
        <v>33</v>
      </c>
      <c r="F92" s="15" t="s">
        <v>33</v>
      </c>
      <c r="G92" s="15" t="s">
        <v>33</v>
      </c>
      <c r="H92" s="15" t="s">
        <v>33</v>
      </c>
      <c r="I92" s="15" t="s">
        <v>33</v>
      </c>
      <c r="J92" s="15" t="s">
        <v>33</v>
      </c>
      <c r="K92" s="15" t="s">
        <v>33</v>
      </c>
      <c r="L92" s="15" t="s">
        <v>33</v>
      </c>
      <c r="M92" s="15" t="s">
        <v>33</v>
      </c>
      <c r="N92" s="15" t="s">
        <v>33</v>
      </c>
      <c r="O92" s="15" t="s">
        <v>33</v>
      </c>
      <c r="P92" s="15" t="s">
        <v>33</v>
      </c>
      <c r="Q92" s="15" t="s">
        <v>33</v>
      </c>
      <c r="R92" s="15" t="s">
        <v>33</v>
      </c>
      <c r="S92" s="15" t="s">
        <v>33</v>
      </c>
      <c r="T92" s="15" t="s">
        <v>33</v>
      </c>
      <c r="U92" s="20" t="s">
        <v>33</v>
      </c>
      <c r="V92" s="20" t="s">
        <v>33</v>
      </c>
      <c r="W92" s="20" t="s">
        <v>33</v>
      </c>
      <c r="X92" s="20" t="s">
        <v>33</v>
      </c>
      <c r="Y92" s="20" t="s">
        <v>33</v>
      </c>
      <c r="Z92" s="20" t="s">
        <v>33</v>
      </c>
      <c r="AA92" s="20" t="s">
        <v>33</v>
      </c>
      <c r="AB92" s="20" t="s">
        <v>33</v>
      </c>
      <c r="AC92" s="20" t="s">
        <v>33</v>
      </c>
      <c r="AD92" s="20" t="s">
        <v>33</v>
      </c>
      <c r="AE92" s="15" t="s">
        <v>35</v>
      </c>
      <c r="AF92" s="15" t="s">
        <v>35</v>
      </c>
      <c r="AG92" s="15" t="s">
        <v>35</v>
      </c>
      <c r="AH92" s="15">
        <f t="shared" si="3"/>
        <v>-15</v>
      </c>
      <c r="AI92" s="15"/>
      <c r="AJ92" s="15" t="s">
        <v>61</v>
      </c>
    </row>
    <row r="93" ht="15.75" customHeight="1">
      <c r="A93" s="15" t="s">
        <v>2229</v>
      </c>
      <c r="B93" s="23" t="s">
        <v>2645</v>
      </c>
      <c r="C93" s="15" t="s">
        <v>2646</v>
      </c>
      <c r="D93" s="15" t="s">
        <v>2647</v>
      </c>
      <c r="E93" s="15" t="s">
        <v>849</v>
      </c>
      <c r="F93" s="15" t="s">
        <v>2648</v>
      </c>
      <c r="G93" s="15" t="s">
        <v>2649</v>
      </c>
      <c r="H93" s="15" t="s">
        <v>371</v>
      </c>
      <c r="I93" s="15" t="s">
        <v>2564</v>
      </c>
      <c r="J93" s="15" t="s">
        <v>2650</v>
      </c>
      <c r="K93" s="15" t="s">
        <v>2651</v>
      </c>
      <c r="L93" s="15" t="s">
        <v>33</v>
      </c>
      <c r="M93" s="15" t="s">
        <v>2652</v>
      </c>
      <c r="N93" s="15" t="s">
        <v>33</v>
      </c>
      <c r="O93" s="15" t="s">
        <v>2653</v>
      </c>
      <c r="P93" s="15" t="s">
        <v>33</v>
      </c>
      <c r="Q93" s="15" t="s">
        <v>2654</v>
      </c>
      <c r="R93" s="15" t="s">
        <v>33</v>
      </c>
      <c r="S93" s="15" t="s">
        <v>2655</v>
      </c>
      <c r="T93" s="15" t="s">
        <v>33</v>
      </c>
      <c r="U93" s="15">
        <f t="shared" ref="U93:U95" si="39">TEXT(D93-C93,"[mm]")/60</f>
        <v>98.65</v>
      </c>
      <c r="V93" s="15">
        <f>TEXT(F93-E93,"[mm]")/60</f>
        <v>18.05</v>
      </c>
      <c r="W93" s="15">
        <f>TEXT(H93-G93,"[mm]")/60</f>
        <v>57.61666667</v>
      </c>
      <c r="X93" s="15">
        <f>TEXT(J93-I93,"[mm]")/60</f>
        <v>126.5</v>
      </c>
      <c r="Y93" s="20" t="s">
        <v>33</v>
      </c>
      <c r="Z93" s="20" t="s">
        <v>33</v>
      </c>
      <c r="AA93" s="20" t="s">
        <v>33</v>
      </c>
      <c r="AB93" s="20" t="s">
        <v>33</v>
      </c>
      <c r="AC93" s="20" t="s">
        <v>33</v>
      </c>
      <c r="AD93" s="15">
        <f t="shared" ref="AD93:AD95" si="40">AVERAGE(U93:AC93)</f>
        <v>75.20416667</v>
      </c>
      <c r="AE93" s="15" t="s">
        <v>35</v>
      </c>
      <c r="AF93" s="15" t="s">
        <v>35</v>
      </c>
      <c r="AG93" s="15" t="s">
        <v>34</v>
      </c>
      <c r="AH93" s="15">
        <f t="shared" si="3"/>
        <v>-10</v>
      </c>
      <c r="AI93" s="15"/>
      <c r="AJ93" s="15" t="s">
        <v>61</v>
      </c>
    </row>
    <row r="94" ht="15.75" customHeight="1">
      <c r="A94" s="15" t="s">
        <v>2229</v>
      </c>
      <c r="B94" s="23" t="s">
        <v>2656</v>
      </c>
      <c r="C94" s="15" t="s">
        <v>2657</v>
      </c>
      <c r="D94" s="15" t="s">
        <v>2658</v>
      </c>
      <c r="E94" s="15" t="s">
        <v>2659</v>
      </c>
      <c r="F94" s="15" t="s">
        <v>33</v>
      </c>
      <c r="G94" s="15" t="s">
        <v>33</v>
      </c>
      <c r="H94" s="15" t="s">
        <v>33</v>
      </c>
      <c r="I94" s="15" t="s">
        <v>33</v>
      </c>
      <c r="J94" s="15" t="s">
        <v>33</v>
      </c>
      <c r="K94" s="15" t="s">
        <v>33</v>
      </c>
      <c r="L94" s="15" t="s">
        <v>33</v>
      </c>
      <c r="M94" s="15" t="s">
        <v>33</v>
      </c>
      <c r="N94" s="15" t="s">
        <v>33</v>
      </c>
      <c r="O94" s="15" t="s">
        <v>33</v>
      </c>
      <c r="P94" s="15" t="s">
        <v>33</v>
      </c>
      <c r="Q94" s="15" t="s">
        <v>33</v>
      </c>
      <c r="R94" s="15" t="s">
        <v>33</v>
      </c>
      <c r="S94" s="15" t="s">
        <v>33</v>
      </c>
      <c r="T94" s="15" t="s">
        <v>33</v>
      </c>
      <c r="U94" s="15">
        <f t="shared" si="39"/>
        <v>0.15</v>
      </c>
      <c r="V94" s="20" t="s">
        <v>33</v>
      </c>
      <c r="W94" s="20" t="s">
        <v>33</v>
      </c>
      <c r="X94" s="20" t="s">
        <v>33</v>
      </c>
      <c r="Y94" s="20" t="s">
        <v>33</v>
      </c>
      <c r="Z94" s="20" t="s">
        <v>33</v>
      </c>
      <c r="AA94" s="20" t="s">
        <v>33</v>
      </c>
      <c r="AB94" s="20" t="s">
        <v>33</v>
      </c>
      <c r="AC94" s="20" t="s">
        <v>33</v>
      </c>
      <c r="AD94" s="15">
        <f t="shared" si="40"/>
        <v>0.15</v>
      </c>
      <c r="AE94" s="15" t="s">
        <v>34</v>
      </c>
      <c r="AF94" s="15" t="s">
        <v>35</v>
      </c>
      <c r="AG94" s="15" t="s">
        <v>35</v>
      </c>
      <c r="AH94" s="15">
        <f t="shared" si="3"/>
        <v>10</v>
      </c>
      <c r="AI94" s="15"/>
      <c r="AJ94" s="15" t="s">
        <v>61</v>
      </c>
    </row>
    <row r="95" ht="15.75" customHeight="1">
      <c r="A95" s="15" t="s">
        <v>2229</v>
      </c>
      <c r="B95" s="23" t="s">
        <v>2660</v>
      </c>
      <c r="C95" s="15" t="s">
        <v>2661</v>
      </c>
      <c r="D95" s="15" t="s">
        <v>2662</v>
      </c>
      <c r="E95" s="15" t="s">
        <v>2663</v>
      </c>
      <c r="F95" s="15" t="s">
        <v>2664</v>
      </c>
      <c r="G95" s="15" t="s">
        <v>33</v>
      </c>
      <c r="H95" s="15" t="s">
        <v>2665</v>
      </c>
      <c r="I95" s="15" t="s">
        <v>33</v>
      </c>
      <c r="J95" s="15" t="s">
        <v>33</v>
      </c>
      <c r="K95" s="15" t="s">
        <v>33</v>
      </c>
      <c r="L95" s="15" t="s">
        <v>33</v>
      </c>
      <c r="M95" s="15" t="s">
        <v>33</v>
      </c>
      <c r="N95" s="15" t="s">
        <v>33</v>
      </c>
      <c r="O95" s="15" t="s">
        <v>33</v>
      </c>
      <c r="P95" s="15" t="s">
        <v>33</v>
      </c>
      <c r="Q95" s="15" t="s">
        <v>33</v>
      </c>
      <c r="R95" s="15" t="s">
        <v>33</v>
      </c>
      <c r="S95" s="15" t="s">
        <v>33</v>
      </c>
      <c r="T95" s="15" t="s">
        <v>33</v>
      </c>
      <c r="U95" s="15">
        <f t="shared" si="39"/>
        <v>0.03333333333</v>
      </c>
      <c r="V95" s="15">
        <f>TEXT(F95-E95,"[mm]")/60</f>
        <v>0.06666666667</v>
      </c>
      <c r="W95" s="20" t="s">
        <v>33</v>
      </c>
      <c r="X95" s="20" t="s">
        <v>33</v>
      </c>
      <c r="Y95" s="20" t="s">
        <v>33</v>
      </c>
      <c r="Z95" s="20" t="s">
        <v>33</v>
      </c>
      <c r="AA95" s="20" t="s">
        <v>33</v>
      </c>
      <c r="AB95" s="20" t="s">
        <v>33</v>
      </c>
      <c r="AC95" s="20" t="s">
        <v>33</v>
      </c>
      <c r="AD95" s="15">
        <f t="shared" si="40"/>
        <v>0.05</v>
      </c>
      <c r="AE95" s="15" t="s">
        <v>34</v>
      </c>
      <c r="AF95" s="15" t="s">
        <v>35</v>
      </c>
      <c r="AG95" s="15" t="s">
        <v>35</v>
      </c>
      <c r="AH95" s="15">
        <f t="shared" si="3"/>
        <v>10</v>
      </c>
      <c r="AI95" s="15"/>
      <c r="AJ95" s="15" t="s">
        <v>61</v>
      </c>
    </row>
    <row r="96" ht="15.75" customHeight="1">
      <c r="A96" s="15" t="s">
        <v>2229</v>
      </c>
      <c r="B96" s="23" t="s">
        <v>2666</v>
      </c>
      <c r="C96" s="15" t="s">
        <v>2667</v>
      </c>
      <c r="D96" s="15" t="s">
        <v>33</v>
      </c>
      <c r="E96" s="15" t="s">
        <v>33</v>
      </c>
      <c r="F96" s="15" t="s">
        <v>33</v>
      </c>
      <c r="G96" s="15" t="s">
        <v>33</v>
      </c>
      <c r="H96" s="15" t="s">
        <v>33</v>
      </c>
      <c r="I96" s="15" t="s">
        <v>33</v>
      </c>
      <c r="J96" s="15" t="s">
        <v>33</v>
      </c>
      <c r="K96" s="15" t="s">
        <v>33</v>
      </c>
      <c r="L96" s="15" t="s">
        <v>33</v>
      </c>
      <c r="M96" s="15" t="s">
        <v>33</v>
      </c>
      <c r="N96" s="15" t="s">
        <v>33</v>
      </c>
      <c r="O96" s="15" t="s">
        <v>33</v>
      </c>
      <c r="P96" s="15" t="s">
        <v>33</v>
      </c>
      <c r="Q96" s="15" t="s">
        <v>33</v>
      </c>
      <c r="R96" s="15" t="s">
        <v>33</v>
      </c>
      <c r="S96" s="15" t="s">
        <v>33</v>
      </c>
      <c r="T96" s="15" t="s">
        <v>33</v>
      </c>
      <c r="U96" s="20" t="s">
        <v>33</v>
      </c>
      <c r="V96" s="20" t="s">
        <v>33</v>
      </c>
      <c r="W96" s="20" t="s">
        <v>33</v>
      </c>
      <c r="X96" s="20" t="s">
        <v>33</v>
      </c>
      <c r="Y96" s="20" t="s">
        <v>33</v>
      </c>
      <c r="Z96" s="20" t="s">
        <v>33</v>
      </c>
      <c r="AA96" s="20" t="s">
        <v>33</v>
      </c>
      <c r="AB96" s="20" t="s">
        <v>33</v>
      </c>
      <c r="AC96" s="20" t="s">
        <v>33</v>
      </c>
      <c r="AD96" s="20" t="s">
        <v>33</v>
      </c>
      <c r="AE96" s="15" t="s">
        <v>35</v>
      </c>
      <c r="AF96" s="15" t="s">
        <v>35</v>
      </c>
      <c r="AG96" s="15" t="s">
        <v>35</v>
      </c>
      <c r="AH96" s="15">
        <f t="shared" si="3"/>
        <v>-15</v>
      </c>
      <c r="AI96" s="15"/>
      <c r="AJ96" s="15" t="s">
        <v>61</v>
      </c>
    </row>
    <row r="97" ht="15.75" customHeight="1">
      <c r="A97" s="15" t="s">
        <v>2229</v>
      </c>
      <c r="B97" s="23" t="s">
        <v>2668</v>
      </c>
      <c r="C97" s="15" t="s">
        <v>2669</v>
      </c>
      <c r="D97" s="15" t="s">
        <v>1888</v>
      </c>
      <c r="E97" s="15" t="s">
        <v>2670</v>
      </c>
      <c r="F97" s="15" t="s">
        <v>2671</v>
      </c>
      <c r="G97" s="15" t="s">
        <v>2672</v>
      </c>
      <c r="H97" s="15" t="s">
        <v>33</v>
      </c>
      <c r="I97" s="15" t="s">
        <v>33</v>
      </c>
      <c r="J97" s="15" t="s">
        <v>33</v>
      </c>
      <c r="K97" s="15" t="s">
        <v>33</v>
      </c>
      <c r="L97" s="15" t="s">
        <v>33</v>
      </c>
      <c r="M97" s="15" t="s">
        <v>33</v>
      </c>
      <c r="N97" s="15" t="s">
        <v>33</v>
      </c>
      <c r="O97" s="15" t="s">
        <v>33</v>
      </c>
      <c r="P97" s="15" t="s">
        <v>33</v>
      </c>
      <c r="Q97" s="15" t="s">
        <v>33</v>
      </c>
      <c r="R97" s="15" t="s">
        <v>33</v>
      </c>
      <c r="S97" s="15" t="s">
        <v>33</v>
      </c>
      <c r="T97" s="15" t="s">
        <v>33</v>
      </c>
      <c r="U97" s="15">
        <f t="shared" ref="U97:U102" si="41">TEXT(D97-C97,"[mm]")/60</f>
        <v>12.9</v>
      </c>
      <c r="V97" s="15">
        <f>TEXT(F97-E97,"[mm]")/60</f>
        <v>15.55</v>
      </c>
      <c r="W97" s="20" t="s">
        <v>33</v>
      </c>
      <c r="X97" s="20" t="s">
        <v>33</v>
      </c>
      <c r="Y97" s="20" t="s">
        <v>33</v>
      </c>
      <c r="Z97" s="20" t="s">
        <v>33</v>
      </c>
      <c r="AA97" s="20" t="s">
        <v>33</v>
      </c>
      <c r="AB97" s="20" t="s">
        <v>33</v>
      </c>
      <c r="AC97" s="20" t="s">
        <v>33</v>
      </c>
      <c r="AD97" s="15">
        <f t="shared" ref="AD97:AD102" si="42">AVERAGE(U97:AC97)</f>
        <v>14.225</v>
      </c>
      <c r="AE97" s="15" t="s">
        <v>34</v>
      </c>
      <c r="AF97" s="15" t="s">
        <v>35</v>
      </c>
      <c r="AG97" s="15" t="s">
        <v>35</v>
      </c>
      <c r="AH97" s="15">
        <f t="shared" si="3"/>
        <v>10</v>
      </c>
      <c r="AI97" s="15"/>
      <c r="AJ97" s="15" t="s">
        <v>61</v>
      </c>
    </row>
    <row r="98" ht="15.75" customHeight="1">
      <c r="A98" s="15" t="s">
        <v>2229</v>
      </c>
      <c r="B98" s="23" t="s">
        <v>2673</v>
      </c>
      <c r="C98" s="15" t="s">
        <v>2674</v>
      </c>
      <c r="D98" s="15" t="s">
        <v>2675</v>
      </c>
      <c r="E98" s="15" t="s">
        <v>33</v>
      </c>
      <c r="F98" s="15" t="s">
        <v>33</v>
      </c>
      <c r="G98" s="15" t="s">
        <v>33</v>
      </c>
      <c r="H98" s="15" t="s">
        <v>33</v>
      </c>
      <c r="I98" s="15" t="s">
        <v>33</v>
      </c>
      <c r="J98" s="15" t="s">
        <v>33</v>
      </c>
      <c r="K98" s="15" t="s">
        <v>33</v>
      </c>
      <c r="L98" s="15" t="s">
        <v>33</v>
      </c>
      <c r="M98" s="15" t="s">
        <v>33</v>
      </c>
      <c r="N98" s="15" t="s">
        <v>33</v>
      </c>
      <c r="O98" s="15" t="s">
        <v>33</v>
      </c>
      <c r="P98" s="15" t="s">
        <v>33</v>
      </c>
      <c r="Q98" s="15" t="s">
        <v>33</v>
      </c>
      <c r="R98" s="15" t="s">
        <v>33</v>
      </c>
      <c r="S98" s="15" t="s">
        <v>33</v>
      </c>
      <c r="T98" s="15" t="s">
        <v>33</v>
      </c>
      <c r="U98" s="15">
        <f t="shared" si="41"/>
        <v>13.23333333</v>
      </c>
      <c r="V98" s="20" t="s">
        <v>33</v>
      </c>
      <c r="W98" s="20" t="s">
        <v>33</v>
      </c>
      <c r="X98" s="20" t="s">
        <v>33</v>
      </c>
      <c r="Y98" s="20" t="s">
        <v>33</v>
      </c>
      <c r="Z98" s="20" t="s">
        <v>33</v>
      </c>
      <c r="AA98" s="20" t="s">
        <v>33</v>
      </c>
      <c r="AB98" s="20" t="s">
        <v>33</v>
      </c>
      <c r="AC98" s="20" t="s">
        <v>33</v>
      </c>
      <c r="AD98" s="15">
        <f t="shared" si="42"/>
        <v>13.23333333</v>
      </c>
      <c r="AE98" s="15" t="s">
        <v>34</v>
      </c>
      <c r="AF98" s="15" t="s">
        <v>35</v>
      </c>
      <c r="AG98" s="15" t="s">
        <v>35</v>
      </c>
      <c r="AH98" s="15">
        <f t="shared" si="3"/>
        <v>10</v>
      </c>
      <c r="AI98" s="15"/>
      <c r="AJ98" s="15" t="s">
        <v>61</v>
      </c>
    </row>
    <row r="99" ht="15.75" customHeight="1">
      <c r="A99" s="15" t="s">
        <v>2229</v>
      </c>
      <c r="B99" s="23" t="s">
        <v>2676</v>
      </c>
      <c r="C99" s="15" t="s">
        <v>2677</v>
      </c>
      <c r="D99" s="15" t="s">
        <v>2678</v>
      </c>
      <c r="E99" s="15" t="s">
        <v>33</v>
      </c>
      <c r="F99" s="15" t="s">
        <v>33</v>
      </c>
      <c r="G99" s="15" t="s">
        <v>33</v>
      </c>
      <c r="H99" s="15" t="s">
        <v>33</v>
      </c>
      <c r="I99" s="15" t="s">
        <v>33</v>
      </c>
      <c r="J99" s="15" t="s">
        <v>33</v>
      </c>
      <c r="K99" s="15" t="s">
        <v>33</v>
      </c>
      <c r="L99" s="15" t="s">
        <v>33</v>
      </c>
      <c r="M99" s="15" t="s">
        <v>33</v>
      </c>
      <c r="N99" s="15" t="s">
        <v>33</v>
      </c>
      <c r="O99" s="15" t="s">
        <v>33</v>
      </c>
      <c r="P99" s="15" t="s">
        <v>33</v>
      </c>
      <c r="Q99" s="15" t="s">
        <v>33</v>
      </c>
      <c r="R99" s="15" t="s">
        <v>33</v>
      </c>
      <c r="S99" s="15" t="s">
        <v>33</v>
      </c>
      <c r="T99" s="15" t="s">
        <v>33</v>
      </c>
      <c r="U99" s="15">
        <f t="shared" si="41"/>
        <v>0.3166666667</v>
      </c>
      <c r="V99" s="20" t="s">
        <v>33</v>
      </c>
      <c r="W99" s="20" t="s">
        <v>33</v>
      </c>
      <c r="X99" s="20" t="s">
        <v>33</v>
      </c>
      <c r="Y99" s="20" t="s">
        <v>33</v>
      </c>
      <c r="Z99" s="20" t="s">
        <v>33</v>
      </c>
      <c r="AA99" s="20" t="s">
        <v>33</v>
      </c>
      <c r="AB99" s="20" t="s">
        <v>33</v>
      </c>
      <c r="AC99" s="20" t="s">
        <v>33</v>
      </c>
      <c r="AD99" s="15">
        <f t="shared" si="42"/>
        <v>0.3166666667</v>
      </c>
      <c r="AE99" s="15" t="s">
        <v>34</v>
      </c>
      <c r="AF99" s="15" t="s">
        <v>35</v>
      </c>
      <c r="AG99" s="15" t="s">
        <v>35</v>
      </c>
      <c r="AH99" s="15">
        <f t="shared" si="3"/>
        <v>10</v>
      </c>
      <c r="AI99" s="15"/>
      <c r="AJ99" s="15" t="s">
        <v>61</v>
      </c>
    </row>
    <row r="100" ht="15.75" customHeight="1">
      <c r="A100" s="15" t="s">
        <v>2229</v>
      </c>
      <c r="B100" s="23" t="s">
        <v>2679</v>
      </c>
      <c r="C100" s="15" t="s">
        <v>2680</v>
      </c>
      <c r="D100" s="15" t="s">
        <v>2681</v>
      </c>
      <c r="E100" s="15" t="s">
        <v>33</v>
      </c>
      <c r="F100" s="15" t="s">
        <v>33</v>
      </c>
      <c r="G100" s="15" t="s">
        <v>33</v>
      </c>
      <c r="H100" s="15" t="s">
        <v>33</v>
      </c>
      <c r="I100" s="15" t="s">
        <v>33</v>
      </c>
      <c r="J100" s="15" t="s">
        <v>33</v>
      </c>
      <c r="K100" s="15" t="s">
        <v>33</v>
      </c>
      <c r="L100" s="15" t="s">
        <v>33</v>
      </c>
      <c r="M100" s="15" t="s">
        <v>33</v>
      </c>
      <c r="N100" s="15" t="s">
        <v>33</v>
      </c>
      <c r="O100" s="15" t="s">
        <v>33</v>
      </c>
      <c r="P100" s="15" t="s">
        <v>33</v>
      </c>
      <c r="Q100" s="15" t="s">
        <v>33</v>
      </c>
      <c r="R100" s="15" t="s">
        <v>33</v>
      </c>
      <c r="S100" s="15" t="s">
        <v>33</v>
      </c>
      <c r="T100" s="15" t="s">
        <v>33</v>
      </c>
      <c r="U100" s="15">
        <f t="shared" si="41"/>
        <v>0.4666666667</v>
      </c>
      <c r="V100" s="20" t="s">
        <v>33</v>
      </c>
      <c r="W100" s="20" t="s">
        <v>33</v>
      </c>
      <c r="X100" s="20" t="s">
        <v>33</v>
      </c>
      <c r="Y100" s="20" t="s">
        <v>33</v>
      </c>
      <c r="Z100" s="20" t="s">
        <v>33</v>
      </c>
      <c r="AA100" s="20" t="s">
        <v>33</v>
      </c>
      <c r="AB100" s="20" t="s">
        <v>33</v>
      </c>
      <c r="AC100" s="20" t="s">
        <v>33</v>
      </c>
      <c r="AD100" s="15">
        <f t="shared" si="42"/>
        <v>0.4666666667</v>
      </c>
      <c r="AE100" s="15" t="s">
        <v>34</v>
      </c>
      <c r="AF100" s="15" t="s">
        <v>35</v>
      </c>
      <c r="AG100" s="15" t="s">
        <v>35</v>
      </c>
      <c r="AH100" s="15">
        <f t="shared" si="3"/>
        <v>10</v>
      </c>
      <c r="AI100" s="15"/>
      <c r="AJ100" s="15" t="s">
        <v>61</v>
      </c>
    </row>
    <row r="101" ht="15.75" customHeight="1">
      <c r="A101" s="15" t="s">
        <v>2229</v>
      </c>
      <c r="B101" s="23" t="s">
        <v>2682</v>
      </c>
      <c r="C101" s="15" t="s">
        <v>2683</v>
      </c>
      <c r="D101" s="15" t="s">
        <v>2684</v>
      </c>
      <c r="E101" s="15" t="s">
        <v>2685</v>
      </c>
      <c r="F101" s="15" t="s">
        <v>2686</v>
      </c>
      <c r="G101" s="15" t="s">
        <v>2687</v>
      </c>
      <c r="H101" s="15" t="s">
        <v>2688</v>
      </c>
      <c r="I101" s="15" t="s">
        <v>2689</v>
      </c>
      <c r="J101" s="15" t="s">
        <v>2690</v>
      </c>
      <c r="K101" s="15" t="s">
        <v>2691</v>
      </c>
      <c r="L101" s="15" t="s">
        <v>2692</v>
      </c>
      <c r="M101" s="15" t="s">
        <v>2693</v>
      </c>
      <c r="N101" s="15" t="s">
        <v>2694</v>
      </c>
      <c r="O101" s="15" t="s">
        <v>2695</v>
      </c>
      <c r="P101" s="15" t="s">
        <v>33</v>
      </c>
      <c r="Q101" s="15" t="s">
        <v>2696</v>
      </c>
      <c r="R101" s="15" t="s">
        <v>33</v>
      </c>
      <c r="S101" s="15" t="s">
        <v>2697</v>
      </c>
      <c r="T101" s="15" t="s">
        <v>33</v>
      </c>
      <c r="U101" s="15">
        <f t="shared" si="41"/>
        <v>293.7</v>
      </c>
      <c r="V101" s="15">
        <f>TEXT(F101-E101,"[mm]")/60</f>
        <v>19.21666667</v>
      </c>
      <c r="W101" s="15">
        <f>TEXT(H101-G101,"[mm]")/60</f>
        <v>0.55</v>
      </c>
      <c r="X101" s="15">
        <f>TEXT(J101-I101,"[mm]")/60</f>
        <v>16.96666667</v>
      </c>
      <c r="Y101" s="15">
        <f>TEXT(L101-K101,"[mm]")/60</f>
        <v>3.583333333</v>
      </c>
      <c r="Z101" s="15">
        <f>TEXT(N101-M101,"[mm]")/60</f>
        <v>29.33333333</v>
      </c>
      <c r="AA101" s="20" t="s">
        <v>33</v>
      </c>
      <c r="AB101" s="20" t="s">
        <v>33</v>
      </c>
      <c r="AC101" s="20" t="s">
        <v>33</v>
      </c>
      <c r="AD101" s="15">
        <f t="shared" si="42"/>
        <v>60.55833333</v>
      </c>
      <c r="AE101" s="15" t="s">
        <v>35</v>
      </c>
      <c r="AF101" s="15" t="s">
        <v>35</v>
      </c>
      <c r="AG101" s="15" t="s">
        <v>34</v>
      </c>
      <c r="AH101" s="15">
        <f t="shared" si="3"/>
        <v>-10</v>
      </c>
      <c r="AI101" s="15"/>
      <c r="AJ101" s="15" t="s">
        <v>61</v>
      </c>
    </row>
    <row r="102" ht="15.75" customHeight="1">
      <c r="A102" s="15" t="s">
        <v>2229</v>
      </c>
      <c r="B102" s="23" t="s">
        <v>2698</v>
      </c>
      <c r="C102" s="15" t="s">
        <v>2699</v>
      </c>
      <c r="D102" s="15" t="s">
        <v>2700</v>
      </c>
      <c r="E102" s="15" t="s">
        <v>33</v>
      </c>
      <c r="F102" s="15" t="s">
        <v>33</v>
      </c>
      <c r="G102" s="15" t="s">
        <v>33</v>
      </c>
      <c r="H102" s="15" t="s">
        <v>33</v>
      </c>
      <c r="I102" s="15" t="s">
        <v>33</v>
      </c>
      <c r="J102" s="15" t="s">
        <v>33</v>
      </c>
      <c r="K102" s="15" t="s">
        <v>33</v>
      </c>
      <c r="L102" s="15" t="s">
        <v>33</v>
      </c>
      <c r="M102" s="15" t="s">
        <v>33</v>
      </c>
      <c r="N102" s="15" t="s">
        <v>33</v>
      </c>
      <c r="O102" s="15" t="s">
        <v>33</v>
      </c>
      <c r="P102" s="15" t="s">
        <v>33</v>
      </c>
      <c r="Q102" s="15" t="s">
        <v>33</v>
      </c>
      <c r="R102" s="15" t="s">
        <v>33</v>
      </c>
      <c r="S102" s="15" t="s">
        <v>33</v>
      </c>
      <c r="T102" s="15" t="s">
        <v>33</v>
      </c>
      <c r="U102" s="15">
        <f t="shared" si="41"/>
        <v>4.033333333</v>
      </c>
      <c r="V102" s="20" t="s">
        <v>33</v>
      </c>
      <c r="W102" s="20" t="s">
        <v>33</v>
      </c>
      <c r="X102" s="20" t="s">
        <v>33</v>
      </c>
      <c r="Y102" s="20" t="s">
        <v>33</v>
      </c>
      <c r="Z102" s="20" t="s">
        <v>33</v>
      </c>
      <c r="AA102" s="20" t="s">
        <v>33</v>
      </c>
      <c r="AB102" s="20" t="s">
        <v>33</v>
      </c>
      <c r="AC102" s="20" t="s">
        <v>33</v>
      </c>
      <c r="AD102" s="15">
        <f t="shared" si="42"/>
        <v>4.033333333</v>
      </c>
      <c r="AE102" s="15" t="s">
        <v>34</v>
      </c>
      <c r="AF102" s="15" t="s">
        <v>35</v>
      </c>
      <c r="AG102" s="15" t="s">
        <v>35</v>
      </c>
      <c r="AH102" s="15">
        <f t="shared" si="3"/>
        <v>10</v>
      </c>
      <c r="AI102" s="15"/>
      <c r="AJ102" s="15" t="s">
        <v>61</v>
      </c>
    </row>
    <row r="103" ht="15.75" customHeight="1">
      <c r="AD103" s="21">
        <f>AVERAGE(AD2:AD102)</f>
        <v>25.30629496</v>
      </c>
      <c r="AH103" s="21">
        <f>SUM(AH3:AH102)</f>
        <v>370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5.29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2701</v>
      </c>
      <c r="B3" s="16" t="s">
        <v>2702</v>
      </c>
      <c r="C3" s="15" t="s">
        <v>2703</v>
      </c>
      <c r="D3" s="15" t="s">
        <v>33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 t="s">
        <v>33</v>
      </c>
      <c r="V3" s="15" t="s">
        <v>33</v>
      </c>
      <c r="W3" s="29" t="s">
        <v>33</v>
      </c>
      <c r="X3" s="29" t="s">
        <v>33</v>
      </c>
      <c r="Y3" s="29" t="s">
        <v>33</v>
      </c>
      <c r="Z3" s="29" t="s">
        <v>33</v>
      </c>
      <c r="AA3" s="29" t="s">
        <v>33</v>
      </c>
      <c r="AB3" s="29" t="s">
        <v>33</v>
      </c>
      <c r="AC3" s="29" t="s">
        <v>33</v>
      </c>
      <c r="AD3" s="29" t="s">
        <v>33</v>
      </c>
      <c r="AE3" s="15" t="s">
        <v>35</v>
      </c>
      <c r="AF3" s="15" t="s">
        <v>35</v>
      </c>
      <c r="AG3" s="15" t="s">
        <v>35</v>
      </c>
      <c r="AH3" s="15">
        <f t="shared" ref="AH3:AH13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2701</v>
      </c>
      <c r="B4" s="16" t="s">
        <v>2704</v>
      </c>
      <c r="C4" s="15" t="s">
        <v>2705</v>
      </c>
      <c r="D4" s="15" t="s">
        <v>33</v>
      </c>
      <c r="E4" s="15" t="s">
        <v>2706</v>
      </c>
      <c r="F4" s="15" t="s">
        <v>33</v>
      </c>
      <c r="G4" s="15" t="s">
        <v>2707</v>
      </c>
      <c r="H4" s="15" t="s">
        <v>33</v>
      </c>
      <c r="I4" s="15" t="s">
        <v>2708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 t="s">
        <v>33</v>
      </c>
      <c r="V4" s="15" t="s">
        <v>33</v>
      </c>
      <c r="W4" s="29" t="s">
        <v>33</v>
      </c>
      <c r="X4" s="29" t="s">
        <v>33</v>
      </c>
      <c r="Y4" s="29" t="s">
        <v>33</v>
      </c>
      <c r="Z4" s="29" t="s">
        <v>33</v>
      </c>
      <c r="AA4" s="29" t="s">
        <v>33</v>
      </c>
      <c r="AB4" s="29" t="s">
        <v>33</v>
      </c>
      <c r="AC4" s="29" t="s">
        <v>33</v>
      </c>
      <c r="AD4" s="29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2701</v>
      </c>
      <c r="B5" s="16" t="s">
        <v>2709</v>
      </c>
      <c r="C5" s="15" t="s">
        <v>2710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 t="s">
        <v>33</v>
      </c>
      <c r="V5" s="15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29" t="s">
        <v>33</v>
      </c>
      <c r="AB5" s="29" t="s">
        <v>33</v>
      </c>
      <c r="AC5" s="29" t="s">
        <v>33</v>
      </c>
      <c r="AD5" s="29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2701</v>
      </c>
      <c r="B6" s="16" t="s">
        <v>2711</v>
      </c>
      <c r="C6" s="15" t="s">
        <v>2712</v>
      </c>
      <c r="D6" s="15" t="s">
        <v>33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 t="s">
        <v>33</v>
      </c>
      <c r="V6" s="15" t="s">
        <v>33</v>
      </c>
      <c r="W6" s="29" t="s">
        <v>33</v>
      </c>
      <c r="X6" s="29" t="s">
        <v>33</v>
      </c>
      <c r="Y6" s="29" t="s">
        <v>33</v>
      </c>
      <c r="Z6" s="29" t="s">
        <v>33</v>
      </c>
      <c r="AA6" s="29" t="s">
        <v>33</v>
      </c>
      <c r="AB6" s="29" t="s">
        <v>33</v>
      </c>
      <c r="AC6" s="29" t="s">
        <v>33</v>
      </c>
      <c r="AD6" s="29" t="s">
        <v>33</v>
      </c>
      <c r="AE6" s="15" t="s">
        <v>35</v>
      </c>
      <c r="AF6" s="15" t="s">
        <v>35</v>
      </c>
      <c r="AG6" s="15" t="s">
        <v>35</v>
      </c>
      <c r="AH6" s="15">
        <f t="shared" si="1"/>
        <v>-15</v>
      </c>
      <c r="AI6" s="15"/>
      <c r="AJ6" s="15" t="s">
        <v>61</v>
      </c>
    </row>
    <row r="7" ht="15.75" customHeight="1">
      <c r="A7" s="15" t="s">
        <v>2701</v>
      </c>
      <c r="B7" s="16" t="s">
        <v>2713</v>
      </c>
      <c r="C7" s="15" t="s">
        <v>2714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 t="s">
        <v>33</v>
      </c>
      <c r="V7" s="15" t="s">
        <v>33</v>
      </c>
      <c r="W7" s="29" t="s">
        <v>33</v>
      </c>
      <c r="X7" s="29" t="s">
        <v>33</v>
      </c>
      <c r="Y7" s="29" t="s">
        <v>33</v>
      </c>
      <c r="Z7" s="29" t="s">
        <v>33</v>
      </c>
      <c r="AA7" s="29" t="s">
        <v>33</v>
      </c>
      <c r="AB7" s="29" t="s">
        <v>33</v>
      </c>
      <c r="AC7" s="29" t="s">
        <v>33</v>
      </c>
      <c r="AD7" s="29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 ht="15.75" customHeight="1">
      <c r="A8" s="15" t="s">
        <v>2701</v>
      </c>
      <c r="B8" s="16" t="s">
        <v>2715</v>
      </c>
      <c r="C8" s="15" t="s">
        <v>2716</v>
      </c>
      <c r="D8" s="15" t="s">
        <v>33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 t="s">
        <v>33</v>
      </c>
      <c r="V8" s="15" t="s">
        <v>33</v>
      </c>
      <c r="W8" s="29" t="s">
        <v>33</v>
      </c>
      <c r="X8" s="29" t="s">
        <v>33</v>
      </c>
      <c r="Y8" s="29" t="s">
        <v>33</v>
      </c>
      <c r="Z8" s="29" t="s">
        <v>33</v>
      </c>
      <c r="AA8" s="29" t="s">
        <v>33</v>
      </c>
      <c r="AB8" s="29" t="s">
        <v>33</v>
      </c>
      <c r="AC8" s="29" t="s">
        <v>33</v>
      </c>
      <c r="AD8" s="29" t="s">
        <v>33</v>
      </c>
      <c r="AE8" s="15" t="s">
        <v>35</v>
      </c>
      <c r="AF8" s="15" t="s">
        <v>35</v>
      </c>
      <c r="AG8" s="15" t="s">
        <v>35</v>
      </c>
      <c r="AH8" s="15">
        <f t="shared" si="1"/>
        <v>-15</v>
      </c>
      <c r="AI8" s="15"/>
      <c r="AJ8" s="15" t="s">
        <v>61</v>
      </c>
    </row>
    <row r="9" ht="15.75" customHeight="1">
      <c r="A9" s="15" t="s">
        <v>2701</v>
      </c>
      <c r="B9" s="16" t="s">
        <v>2717</v>
      </c>
      <c r="C9" s="15" t="s">
        <v>2718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 t="s">
        <v>33</v>
      </c>
      <c r="V9" s="15" t="s">
        <v>33</v>
      </c>
      <c r="W9" s="29" t="s">
        <v>33</v>
      </c>
      <c r="X9" s="29" t="s">
        <v>33</v>
      </c>
      <c r="Y9" s="29" t="s">
        <v>33</v>
      </c>
      <c r="Z9" s="29" t="s">
        <v>33</v>
      </c>
      <c r="AA9" s="29" t="s">
        <v>33</v>
      </c>
      <c r="AB9" s="29" t="s">
        <v>33</v>
      </c>
      <c r="AC9" s="29" t="s">
        <v>33</v>
      </c>
      <c r="AD9" s="29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2701</v>
      </c>
      <c r="B10" s="16" t="s">
        <v>2719</v>
      </c>
      <c r="C10" s="15" t="s">
        <v>2720</v>
      </c>
      <c r="D10" s="15" t="s">
        <v>33</v>
      </c>
      <c r="E10" s="15" t="s">
        <v>2721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 t="s">
        <v>33</v>
      </c>
      <c r="V10" s="15" t="s">
        <v>33</v>
      </c>
      <c r="W10" s="29" t="s">
        <v>33</v>
      </c>
      <c r="X10" s="29" t="s">
        <v>33</v>
      </c>
      <c r="Y10" s="29" t="s">
        <v>33</v>
      </c>
      <c r="Z10" s="29" t="s">
        <v>33</v>
      </c>
      <c r="AA10" s="29" t="s">
        <v>33</v>
      </c>
      <c r="AB10" s="29" t="s">
        <v>33</v>
      </c>
      <c r="AC10" s="29" t="s">
        <v>33</v>
      </c>
      <c r="AD10" s="29" t="s">
        <v>33</v>
      </c>
      <c r="AE10" s="15" t="s">
        <v>35</v>
      </c>
      <c r="AF10" s="15" t="s">
        <v>35</v>
      </c>
      <c r="AG10" s="15" t="s">
        <v>35</v>
      </c>
      <c r="AH10" s="15">
        <f t="shared" si="1"/>
        <v>-15</v>
      </c>
      <c r="AI10" s="15"/>
      <c r="AJ10" s="15" t="s">
        <v>61</v>
      </c>
    </row>
    <row r="11" ht="15.75" customHeight="1">
      <c r="A11" s="15" t="s">
        <v>2701</v>
      </c>
      <c r="B11" s="16" t="s">
        <v>2722</v>
      </c>
      <c r="C11" s="15" t="s">
        <v>2723</v>
      </c>
      <c r="D11" s="15" t="s">
        <v>33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 t="s">
        <v>33</v>
      </c>
      <c r="V11" s="15" t="s">
        <v>33</v>
      </c>
      <c r="W11" s="29" t="s">
        <v>33</v>
      </c>
      <c r="X11" s="29" t="s">
        <v>33</v>
      </c>
      <c r="Y11" s="29" t="s">
        <v>33</v>
      </c>
      <c r="Z11" s="29" t="s">
        <v>33</v>
      </c>
      <c r="AA11" s="29" t="s">
        <v>33</v>
      </c>
      <c r="AB11" s="29" t="s">
        <v>33</v>
      </c>
      <c r="AC11" s="29" t="s">
        <v>33</v>
      </c>
      <c r="AD11" s="29" t="s">
        <v>33</v>
      </c>
      <c r="AE11" s="15" t="s">
        <v>35</v>
      </c>
      <c r="AF11" s="15" t="s">
        <v>35</v>
      </c>
      <c r="AG11" s="15" t="s">
        <v>35</v>
      </c>
      <c r="AH11" s="15">
        <f t="shared" si="1"/>
        <v>-15</v>
      </c>
      <c r="AI11" s="15"/>
      <c r="AJ11" s="15" t="s">
        <v>61</v>
      </c>
    </row>
    <row r="12" ht="15.75" customHeight="1">
      <c r="A12" s="15" t="s">
        <v>2701</v>
      </c>
      <c r="B12" s="16" t="s">
        <v>2724</v>
      </c>
      <c r="C12" s="15" t="s">
        <v>2725</v>
      </c>
      <c r="D12" s="15" t="s">
        <v>33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 t="s">
        <v>33</v>
      </c>
      <c r="V12" s="15" t="s">
        <v>33</v>
      </c>
      <c r="W12" s="29" t="s">
        <v>33</v>
      </c>
      <c r="X12" s="29" t="s">
        <v>33</v>
      </c>
      <c r="Y12" s="29" t="s">
        <v>33</v>
      </c>
      <c r="Z12" s="29" t="s">
        <v>33</v>
      </c>
      <c r="AA12" s="29" t="s">
        <v>33</v>
      </c>
      <c r="AB12" s="29" t="s">
        <v>33</v>
      </c>
      <c r="AC12" s="29" t="s">
        <v>33</v>
      </c>
      <c r="AD12" s="29" t="s">
        <v>33</v>
      </c>
      <c r="AE12" s="15" t="s">
        <v>35</v>
      </c>
      <c r="AF12" s="15" t="s">
        <v>35</v>
      </c>
      <c r="AG12" s="15" t="s">
        <v>35</v>
      </c>
      <c r="AH12" s="15">
        <f t="shared" si="1"/>
        <v>-15</v>
      </c>
      <c r="AI12" s="15"/>
      <c r="AJ12" s="15" t="s">
        <v>61</v>
      </c>
    </row>
    <row r="13" ht="15.75" customHeight="1">
      <c r="A13" s="15" t="s">
        <v>2701</v>
      </c>
      <c r="B13" s="16" t="s">
        <v>2726</v>
      </c>
      <c r="C13" s="15" t="s">
        <v>2727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 t="s">
        <v>33</v>
      </c>
      <c r="V13" s="15" t="s">
        <v>33</v>
      </c>
      <c r="W13" s="29" t="s">
        <v>33</v>
      </c>
      <c r="X13" s="29" t="s">
        <v>33</v>
      </c>
      <c r="Y13" s="29" t="s">
        <v>33</v>
      </c>
      <c r="Z13" s="29" t="s">
        <v>33</v>
      </c>
      <c r="AA13" s="29" t="s">
        <v>33</v>
      </c>
      <c r="AB13" s="29" t="s">
        <v>33</v>
      </c>
      <c r="AC13" s="29" t="s">
        <v>33</v>
      </c>
      <c r="AD13" s="29" t="s">
        <v>33</v>
      </c>
      <c r="AE13" s="15" t="s">
        <v>35</v>
      </c>
      <c r="AF13" s="15" t="s">
        <v>35</v>
      </c>
      <c r="AG13" s="15" t="s">
        <v>35</v>
      </c>
      <c r="AH13" s="15">
        <f t="shared" si="1"/>
        <v>-15</v>
      </c>
      <c r="AI13" s="15"/>
      <c r="AJ13" s="15" t="s">
        <v>61</v>
      </c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33" t="s">
        <v>33</v>
      </c>
      <c r="AE14" s="22"/>
      <c r="AF14" s="22"/>
      <c r="AG14" s="22"/>
      <c r="AH14" s="22">
        <f>SUM(AH3:AH13)</f>
        <v>-165</v>
      </c>
      <c r="AI14" s="22"/>
      <c r="AJ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</row>
  </sheetData>
  <hyperlinks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printOptions/>
  <pageMargins bottom="1.0" footer="0.0" header="0.0" left="0.75" right="0.75" top="1.0"/>
  <pageSetup orientation="landscape"/>
  <drawing r:id="rId13"/>
  <legacy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15.86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2728</v>
      </c>
      <c r="B3" s="16" t="s">
        <v>2729</v>
      </c>
      <c r="C3" s="15" t="s">
        <v>791</v>
      </c>
      <c r="D3" s="15" t="s">
        <v>33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20" t="s">
        <v>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35</v>
      </c>
      <c r="AF3" s="15" t="s">
        <v>35</v>
      </c>
      <c r="AG3" s="15" t="s">
        <v>35</v>
      </c>
      <c r="AH3" s="15">
        <f t="shared" ref="AH3:AH24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2728</v>
      </c>
      <c r="B4" s="16" t="s">
        <v>2730</v>
      </c>
      <c r="C4" s="15" t="s">
        <v>2731</v>
      </c>
      <c r="D4" s="15" t="s">
        <v>2732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>TEXT(D4-C4,"[mm]")/60</f>
        <v>0.8833333333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>AVERAGE(U4:AC4)</f>
        <v>0.8833333333</v>
      </c>
      <c r="AE4" s="15" t="s">
        <v>34</v>
      </c>
      <c r="AF4" s="15" t="s">
        <v>35</v>
      </c>
      <c r="AG4" s="15" t="s">
        <v>35</v>
      </c>
      <c r="AH4" s="15">
        <f t="shared" si="1"/>
        <v>10</v>
      </c>
      <c r="AI4" s="15"/>
      <c r="AJ4" s="15" t="s">
        <v>61</v>
      </c>
    </row>
    <row r="5" ht="15.75" customHeight="1">
      <c r="A5" s="15" t="s">
        <v>2728</v>
      </c>
      <c r="B5" s="16" t="s">
        <v>2733</v>
      </c>
      <c r="C5" s="15" t="s">
        <v>2734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2728</v>
      </c>
      <c r="B6" s="16" t="s">
        <v>2735</v>
      </c>
      <c r="C6" s="15" t="s">
        <v>2736</v>
      </c>
      <c r="D6" s="15" t="s">
        <v>33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20" t="s">
        <v>33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20" t="s">
        <v>33</v>
      </c>
      <c r="AE6" s="15" t="s">
        <v>35</v>
      </c>
      <c r="AF6" s="15" t="s">
        <v>35</v>
      </c>
      <c r="AG6" s="15" t="s">
        <v>35</v>
      </c>
      <c r="AH6" s="15">
        <f t="shared" si="1"/>
        <v>-15</v>
      </c>
      <c r="AI6" s="15"/>
      <c r="AJ6" s="15" t="s">
        <v>61</v>
      </c>
    </row>
    <row r="7" ht="15.75" customHeight="1">
      <c r="A7" s="15" t="s">
        <v>2728</v>
      </c>
      <c r="B7" s="16" t="s">
        <v>2737</v>
      </c>
      <c r="C7" s="15" t="s">
        <v>2738</v>
      </c>
      <c r="D7" s="15" t="s">
        <v>901</v>
      </c>
      <c r="E7" s="15" t="s">
        <v>2739</v>
      </c>
      <c r="F7" s="15" t="s">
        <v>2740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>TEXT(D7-C7,"[mm]")/60</f>
        <v>2.666666667</v>
      </c>
      <c r="V7" s="15">
        <f>TEXT(F7-E7,"[mm]")/60</f>
        <v>1.233333333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>AVERAGE(U7:AC7)</f>
        <v>1.95</v>
      </c>
      <c r="AE7" s="15" t="s">
        <v>34</v>
      </c>
      <c r="AF7" s="15" t="s">
        <v>35</v>
      </c>
      <c r="AG7" s="15" t="s">
        <v>35</v>
      </c>
      <c r="AH7" s="15">
        <f t="shared" si="1"/>
        <v>10</v>
      </c>
      <c r="AI7" s="15"/>
      <c r="AJ7" s="15" t="s">
        <v>61</v>
      </c>
    </row>
    <row r="8" ht="15.75" customHeight="1">
      <c r="A8" s="15" t="s">
        <v>2728</v>
      </c>
      <c r="B8" s="16" t="s">
        <v>2741</v>
      </c>
      <c r="C8" s="15" t="s">
        <v>2742</v>
      </c>
      <c r="D8" s="15" t="s">
        <v>33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20" t="s">
        <v>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20" t="s">
        <v>33</v>
      </c>
      <c r="AE8" s="15" t="s">
        <v>35</v>
      </c>
      <c r="AF8" s="15" t="s">
        <v>35</v>
      </c>
      <c r="AG8" s="15" t="s">
        <v>35</v>
      </c>
      <c r="AH8" s="15">
        <f t="shared" si="1"/>
        <v>-15</v>
      </c>
      <c r="AI8" s="15"/>
      <c r="AJ8" s="15" t="s">
        <v>61</v>
      </c>
    </row>
    <row r="9" ht="15.75" customHeight="1">
      <c r="A9" s="15" t="s">
        <v>2728</v>
      </c>
      <c r="B9" s="16" t="s">
        <v>2743</v>
      </c>
      <c r="C9" s="15" t="s">
        <v>2744</v>
      </c>
      <c r="D9" s="15" t="s">
        <v>33</v>
      </c>
      <c r="E9" s="15" t="s">
        <v>2745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2728</v>
      </c>
      <c r="B10" s="16" t="s">
        <v>2746</v>
      </c>
      <c r="C10" s="15" t="s">
        <v>2747</v>
      </c>
      <c r="D10" s="15" t="s">
        <v>33</v>
      </c>
      <c r="E10" s="15" t="s">
        <v>2748</v>
      </c>
      <c r="F10" s="15" t="s">
        <v>33</v>
      </c>
      <c r="G10" s="15" t="s">
        <v>2749</v>
      </c>
      <c r="H10" s="15" t="s">
        <v>33</v>
      </c>
      <c r="I10" s="15" t="s">
        <v>2750</v>
      </c>
      <c r="J10" s="15" t="s">
        <v>33</v>
      </c>
      <c r="K10" s="15" t="s">
        <v>2751</v>
      </c>
      <c r="L10" s="15" t="s">
        <v>33</v>
      </c>
      <c r="M10" s="15" t="s">
        <v>2752</v>
      </c>
      <c r="N10" s="15" t="s">
        <v>33</v>
      </c>
      <c r="O10" s="15" t="s">
        <v>2753</v>
      </c>
      <c r="P10" s="15" t="s">
        <v>33</v>
      </c>
      <c r="Q10" s="15" t="s">
        <v>2754</v>
      </c>
      <c r="R10" s="15" t="s">
        <v>33</v>
      </c>
      <c r="S10" s="15" t="s">
        <v>2755</v>
      </c>
      <c r="T10" s="15" t="s">
        <v>33</v>
      </c>
      <c r="U10" s="20" t="s">
        <v>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20" t="s">
        <v>33</v>
      </c>
      <c r="AE10" s="15" t="s">
        <v>35</v>
      </c>
      <c r="AF10" s="15" t="s">
        <v>35</v>
      </c>
      <c r="AG10" s="15" t="s">
        <v>35</v>
      </c>
      <c r="AH10" s="15">
        <f t="shared" si="1"/>
        <v>-15</v>
      </c>
      <c r="AI10" s="15"/>
      <c r="AJ10" s="15" t="s">
        <v>61</v>
      </c>
    </row>
    <row r="11" ht="15.75" customHeight="1">
      <c r="A11" s="15" t="s">
        <v>2728</v>
      </c>
      <c r="B11" s="16" t="s">
        <v>2756</v>
      </c>
      <c r="C11" s="15" t="s">
        <v>2757</v>
      </c>
      <c r="D11" s="15" t="s">
        <v>2758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ref="U11:U13" si="2">TEXT(D11-C11,"[mm]")/60</f>
        <v>14.71666667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ref="AD11:AD13" si="3">AVERAGE(U11:AC11)</f>
        <v>14.71666667</v>
      </c>
      <c r="AE11" s="15" t="s">
        <v>34</v>
      </c>
      <c r="AF11" s="15" t="s">
        <v>35</v>
      </c>
      <c r="AG11" s="15" t="s">
        <v>35</v>
      </c>
      <c r="AH11" s="15">
        <f t="shared" si="1"/>
        <v>10</v>
      </c>
      <c r="AI11" s="15"/>
      <c r="AJ11" s="15" t="s">
        <v>61</v>
      </c>
    </row>
    <row r="12" ht="15.75" customHeight="1">
      <c r="A12" s="15" t="s">
        <v>2728</v>
      </c>
      <c r="B12" s="16" t="s">
        <v>2759</v>
      </c>
      <c r="C12" s="15" t="s">
        <v>2760</v>
      </c>
      <c r="D12" s="15" t="s">
        <v>2761</v>
      </c>
      <c r="E12" s="15" t="s">
        <v>33</v>
      </c>
      <c r="F12" s="15" t="s">
        <v>2762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2"/>
        <v>0.06666666667</v>
      </c>
      <c r="V12" s="20" t="s">
        <v>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3"/>
        <v>0.06666666667</v>
      </c>
      <c r="AE12" s="15" t="s">
        <v>34</v>
      </c>
      <c r="AF12" s="15" t="s">
        <v>35</v>
      </c>
      <c r="AG12" s="15" t="s">
        <v>35</v>
      </c>
      <c r="AH12" s="15">
        <f t="shared" si="1"/>
        <v>10</v>
      </c>
      <c r="AI12" s="15"/>
      <c r="AJ12" s="15" t="s">
        <v>61</v>
      </c>
    </row>
    <row r="13" ht="15.75" customHeight="1">
      <c r="A13" s="15" t="s">
        <v>2728</v>
      </c>
      <c r="B13" s="16" t="s">
        <v>2763</v>
      </c>
      <c r="C13" s="15" t="s">
        <v>2764</v>
      </c>
      <c r="D13" s="15" t="s">
        <v>2765</v>
      </c>
      <c r="E13" s="15" t="s">
        <v>2766</v>
      </c>
      <c r="F13" s="15" t="s">
        <v>2767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>
        <f t="shared" si="2"/>
        <v>15.68333333</v>
      </c>
      <c r="V13" s="15">
        <f>TEXT(F13-E13,"[mm]")/60</f>
        <v>0.7833333333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15">
        <f t="shared" si="3"/>
        <v>8.233333333</v>
      </c>
      <c r="AE13" s="15" t="s">
        <v>34</v>
      </c>
      <c r="AF13" s="15" t="s">
        <v>35</v>
      </c>
      <c r="AG13" s="15" t="s">
        <v>35</v>
      </c>
      <c r="AH13" s="15">
        <f t="shared" si="1"/>
        <v>10</v>
      </c>
      <c r="AI13" s="15"/>
      <c r="AJ13" s="15" t="s">
        <v>61</v>
      </c>
    </row>
    <row r="14" ht="15.75" customHeight="1">
      <c r="A14" s="15" t="s">
        <v>2728</v>
      </c>
      <c r="B14" s="16" t="s">
        <v>2768</v>
      </c>
      <c r="C14" s="15" t="s">
        <v>2769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20" t="s">
        <v>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20" t="s">
        <v>33</v>
      </c>
      <c r="AE14" s="15" t="s">
        <v>35</v>
      </c>
      <c r="AF14" s="15" t="s">
        <v>35</v>
      </c>
      <c r="AG14" s="15" t="s">
        <v>35</v>
      </c>
      <c r="AH14" s="15">
        <f t="shared" si="1"/>
        <v>-15</v>
      </c>
      <c r="AI14" s="15"/>
      <c r="AJ14" s="15" t="s">
        <v>61</v>
      </c>
    </row>
    <row r="15" ht="15.75" customHeight="1">
      <c r="A15" s="15" t="s">
        <v>2728</v>
      </c>
      <c r="B15" s="16" t="s">
        <v>2770</v>
      </c>
      <c r="C15" s="15" t="s">
        <v>2771</v>
      </c>
      <c r="D15" s="15" t="s">
        <v>33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20" t="s">
        <v>33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20" t="s">
        <v>33</v>
      </c>
      <c r="AE15" s="15" t="s">
        <v>35</v>
      </c>
      <c r="AF15" s="15" t="s">
        <v>35</v>
      </c>
      <c r="AG15" s="15" t="s">
        <v>35</v>
      </c>
      <c r="AH15" s="15">
        <f t="shared" si="1"/>
        <v>-15</v>
      </c>
      <c r="AI15" s="15"/>
      <c r="AJ15" s="15" t="s">
        <v>61</v>
      </c>
    </row>
    <row r="16" ht="15.75" customHeight="1">
      <c r="A16" s="15" t="s">
        <v>2728</v>
      </c>
      <c r="B16" s="16" t="s">
        <v>2772</v>
      </c>
      <c r="C16" s="15" t="s">
        <v>2773</v>
      </c>
      <c r="D16" s="15" t="s">
        <v>33</v>
      </c>
      <c r="E16" s="15" t="s">
        <v>2774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20" t="s">
        <v>33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20" t="s">
        <v>33</v>
      </c>
      <c r="AE16" s="15" t="s">
        <v>35</v>
      </c>
      <c r="AF16" s="15" t="s">
        <v>35</v>
      </c>
      <c r="AG16" s="15" t="s">
        <v>35</v>
      </c>
      <c r="AH16" s="15">
        <f t="shared" si="1"/>
        <v>-15</v>
      </c>
      <c r="AI16" s="15"/>
      <c r="AJ16" s="15" t="s">
        <v>61</v>
      </c>
    </row>
    <row r="17" ht="15.75" customHeight="1">
      <c r="A17" s="15" t="s">
        <v>2728</v>
      </c>
      <c r="B17" s="16" t="s">
        <v>2775</v>
      </c>
      <c r="C17" s="15" t="s">
        <v>2776</v>
      </c>
      <c r="D17" s="15" t="s">
        <v>2777</v>
      </c>
      <c r="E17" s="15" t="s">
        <v>2778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ref="U17:U20" si="4">TEXT(D17-C17,"[mm]")/60</f>
        <v>1.733333333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ref="AD17:AD20" si="5">AVERAGE(U17:AC17)</f>
        <v>1.733333333</v>
      </c>
      <c r="AE17" s="15" t="s">
        <v>34</v>
      </c>
      <c r="AF17" s="15" t="s">
        <v>35</v>
      </c>
      <c r="AG17" s="15" t="s">
        <v>35</v>
      </c>
      <c r="AH17" s="15">
        <f t="shared" si="1"/>
        <v>10</v>
      </c>
      <c r="AI17" s="15"/>
      <c r="AJ17" s="15" t="s">
        <v>61</v>
      </c>
    </row>
    <row r="18" ht="15.75" customHeight="1">
      <c r="A18" s="15" t="s">
        <v>2728</v>
      </c>
      <c r="B18" s="16" t="s">
        <v>2779</v>
      </c>
      <c r="C18" s="15" t="s">
        <v>2780</v>
      </c>
      <c r="D18" s="15" t="s">
        <v>2781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4"/>
        <v>1.65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5"/>
        <v>1.65</v>
      </c>
      <c r="AE18" s="15" t="s">
        <v>34</v>
      </c>
      <c r="AF18" s="15" t="s">
        <v>35</v>
      </c>
      <c r="AG18" s="15" t="s">
        <v>35</v>
      </c>
      <c r="AH18" s="15">
        <f t="shared" si="1"/>
        <v>10</v>
      </c>
      <c r="AI18" s="15"/>
      <c r="AJ18" s="15" t="s">
        <v>61</v>
      </c>
    </row>
    <row r="19" ht="15.75" customHeight="1">
      <c r="A19" s="15" t="s">
        <v>2728</v>
      </c>
      <c r="B19" s="16" t="s">
        <v>2782</v>
      </c>
      <c r="C19" s="15" t="s">
        <v>2783</v>
      </c>
      <c r="D19" s="15" t="s">
        <v>2784</v>
      </c>
      <c r="E19" s="15" t="s">
        <v>33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si="4"/>
        <v>14.41666667</v>
      </c>
      <c r="V19" s="20" t="s">
        <v>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si="5"/>
        <v>14.41666667</v>
      </c>
      <c r="AE19" s="15" t="s">
        <v>34</v>
      </c>
      <c r="AF19" s="15" t="s">
        <v>35</v>
      </c>
      <c r="AG19" s="15" t="s">
        <v>35</v>
      </c>
      <c r="AH19" s="15">
        <f t="shared" si="1"/>
        <v>10</v>
      </c>
      <c r="AI19" s="15"/>
      <c r="AJ19" s="15" t="s">
        <v>61</v>
      </c>
    </row>
    <row r="20" ht="15.75" customHeight="1">
      <c r="A20" s="15" t="s">
        <v>2728</v>
      </c>
      <c r="B20" s="16" t="s">
        <v>2785</v>
      </c>
      <c r="C20" s="15" t="s">
        <v>2786</v>
      </c>
      <c r="D20" s="15" t="s">
        <v>2787</v>
      </c>
      <c r="E20" s="15" t="s">
        <v>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4"/>
        <v>15.45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5"/>
        <v>15.45</v>
      </c>
      <c r="AE20" s="15" t="s">
        <v>34</v>
      </c>
      <c r="AF20" s="15" t="s">
        <v>35</v>
      </c>
      <c r="AG20" s="15" t="s">
        <v>35</v>
      </c>
      <c r="AH20" s="15">
        <f t="shared" si="1"/>
        <v>10</v>
      </c>
      <c r="AI20" s="15"/>
      <c r="AJ20" s="15" t="s">
        <v>61</v>
      </c>
    </row>
    <row r="21" ht="15.75" customHeight="1">
      <c r="A21" s="15" t="s">
        <v>2728</v>
      </c>
      <c r="B21" s="16" t="s">
        <v>2788</v>
      </c>
      <c r="C21" s="15" t="s">
        <v>2789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20" t="s">
        <v>33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20" t="s">
        <v>33</v>
      </c>
      <c r="AE21" s="15" t="s">
        <v>35</v>
      </c>
      <c r="AF21" s="15" t="s">
        <v>35</v>
      </c>
      <c r="AG21" s="15" t="s">
        <v>35</v>
      </c>
      <c r="AH21" s="15">
        <f t="shared" si="1"/>
        <v>-15</v>
      </c>
      <c r="AI21" s="15"/>
      <c r="AJ21" s="15" t="s">
        <v>61</v>
      </c>
    </row>
    <row r="22" ht="15.75" customHeight="1">
      <c r="A22" s="15" t="s">
        <v>2728</v>
      </c>
      <c r="B22" s="16" t="s">
        <v>2790</v>
      </c>
      <c r="C22" s="15" t="s">
        <v>255</v>
      </c>
      <c r="D22" s="15" t="s">
        <v>2791</v>
      </c>
      <c r="E22" s="15" t="s">
        <v>33</v>
      </c>
      <c r="F22" s="15" t="s">
        <v>2792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 t="shared" ref="U22:U24" si="6">TEXT(D22-C22,"[mm]")/60</f>
        <v>67.16666667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 t="shared" ref="AD22:AD24" si="7">AVERAGE(U22:AC22)</f>
        <v>67.16666667</v>
      </c>
      <c r="AE22" s="15" t="s">
        <v>35</v>
      </c>
      <c r="AF22" s="15" t="s">
        <v>34</v>
      </c>
      <c r="AG22" s="15" t="s">
        <v>35</v>
      </c>
      <c r="AH22" s="15">
        <f t="shared" si="1"/>
        <v>5</v>
      </c>
      <c r="AI22" s="15"/>
      <c r="AJ22" s="15" t="s">
        <v>61</v>
      </c>
    </row>
    <row r="23" ht="15.75" customHeight="1">
      <c r="A23" s="15" t="s">
        <v>2728</v>
      </c>
      <c r="B23" s="16" t="s">
        <v>2793</v>
      </c>
      <c r="C23" s="15" t="s">
        <v>2794</v>
      </c>
      <c r="D23" s="15" t="s">
        <v>2795</v>
      </c>
      <c r="E23" s="15" t="s">
        <v>33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si="6"/>
        <v>0.2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15">
        <f t="shared" si="7"/>
        <v>0.2</v>
      </c>
      <c r="AE23" s="15" t="s">
        <v>34</v>
      </c>
      <c r="AF23" s="15" t="s">
        <v>35</v>
      </c>
      <c r="AG23" s="15" t="s">
        <v>35</v>
      </c>
      <c r="AH23" s="15">
        <f t="shared" si="1"/>
        <v>10</v>
      </c>
      <c r="AI23" s="15"/>
      <c r="AJ23" s="15" t="s">
        <v>61</v>
      </c>
    </row>
    <row r="24" ht="15.75" customHeight="1">
      <c r="A24" s="15" t="s">
        <v>2728</v>
      </c>
      <c r="B24" s="16" t="s">
        <v>2796</v>
      </c>
      <c r="C24" s="15" t="s">
        <v>2797</v>
      </c>
      <c r="D24" s="15" t="s">
        <v>2798</v>
      </c>
      <c r="E24" s="15" t="s">
        <v>2799</v>
      </c>
      <c r="F24" s="15" t="s">
        <v>2800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15">
        <f t="shared" si="6"/>
        <v>3.266666667</v>
      </c>
      <c r="V24" s="15">
        <f>TEXT(F24-E24,"[mm]")/60</f>
        <v>0.2166666667</v>
      </c>
      <c r="W24" s="20" t="s">
        <v>33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si="7"/>
        <v>1.741666667</v>
      </c>
      <c r="AE24" s="15" t="s">
        <v>34</v>
      </c>
      <c r="AF24" s="15" t="s">
        <v>35</v>
      </c>
      <c r="AG24" s="15" t="s">
        <v>35</v>
      </c>
      <c r="AH24" s="15">
        <f t="shared" si="1"/>
        <v>10</v>
      </c>
      <c r="AI24" s="15"/>
      <c r="AJ24" s="15" t="s">
        <v>61</v>
      </c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>
        <f>AVERAGE(AD3:AD24)</f>
        <v>10.68402778</v>
      </c>
      <c r="AE25" s="22"/>
      <c r="AF25" s="22"/>
      <c r="AG25" s="22"/>
      <c r="AH25" s="22">
        <f>SUM(AH3:AH24)</f>
        <v>-35</v>
      </c>
      <c r="AI25" s="22"/>
      <c r="A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</hyperlinks>
  <printOptions/>
  <pageMargins bottom="1.0" footer="0.0" header="0.0" left="0.75" right="0.75" top="1.0"/>
  <pageSetup orientation="landscape"/>
  <drawing r:id="rId2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84.14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2801</v>
      </c>
      <c r="B3" s="16" t="s">
        <v>2802</v>
      </c>
      <c r="C3" s="15" t="s">
        <v>1744</v>
      </c>
      <c r="D3" s="15" t="s">
        <v>2803</v>
      </c>
      <c r="E3" s="15" t="s">
        <v>2804</v>
      </c>
      <c r="F3" s="15" t="s">
        <v>33</v>
      </c>
      <c r="G3" s="15" t="s">
        <v>2805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7" si="1">TEXT(D3-C3,"[mm]")/60</f>
        <v>45.61666667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7" si="2">AVERAGE(U3:AC3)</f>
        <v>45.61666667</v>
      </c>
      <c r="AE3" s="15" t="s">
        <v>35</v>
      </c>
      <c r="AF3" s="15" t="s">
        <v>34</v>
      </c>
      <c r="AG3" s="15" t="s">
        <v>35</v>
      </c>
      <c r="AH3" s="15">
        <f t="shared" ref="AH3:AH7" si="3">IF(AND(AE3="FALSE",AF3="FALSE",AG3="FALSE"),-15,IF(AE3="TRUE",10,IF(AF3="TRUE",5,IF(AG3="TRUE",-10,""))))</f>
        <v>5</v>
      </c>
      <c r="AI3" s="15"/>
      <c r="AJ3" s="15" t="s">
        <v>61</v>
      </c>
    </row>
    <row r="4" ht="15.75" customHeight="1">
      <c r="A4" s="15" t="s">
        <v>2801</v>
      </c>
      <c r="B4" s="16" t="s">
        <v>2806</v>
      </c>
      <c r="C4" s="15" t="s">
        <v>2807</v>
      </c>
      <c r="D4" s="15" t="s">
        <v>2808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40.46666667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40.46666667</v>
      </c>
      <c r="AE4" s="15" t="s">
        <v>35</v>
      </c>
      <c r="AF4" s="15" t="s">
        <v>34</v>
      </c>
      <c r="AG4" s="15" t="s">
        <v>35</v>
      </c>
      <c r="AH4" s="15">
        <f t="shared" si="3"/>
        <v>5</v>
      </c>
      <c r="AI4" s="15"/>
      <c r="AJ4" s="15" t="s">
        <v>61</v>
      </c>
    </row>
    <row r="5" ht="15.75" customHeight="1">
      <c r="A5" s="15" t="s">
        <v>2801</v>
      </c>
      <c r="B5" s="16" t="s">
        <v>2809</v>
      </c>
      <c r="C5" s="15" t="s">
        <v>2810</v>
      </c>
      <c r="D5" s="15" t="s">
        <v>2811</v>
      </c>
      <c r="E5" s="15" t="s">
        <v>2812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1"/>
        <v>2.5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2"/>
        <v>2.5</v>
      </c>
      <c r="AE5" s="15" t="s">
        <v>34</v>
      </c>
      <c r="AF5" s="15" t="s">
        <v>35</v>
      </c>
      <c r="AG5" s="15" t="s">
        <v>35</v>
      </c>
      <c r="AH5" s="15">
        <f t="shared" si="3"/>
        <v>10</v>
      </c>
      <c r="AI5" s="15"/>
      <c r="AJ5" s="15" t="s">
        <v>61</v>
      </c>
    </row>
    <row r="6" ht="15.75" customHeight="1">
      <c r="A6" s="15" t="s">
        <v>2801</v>
      </c>
      <c r="B6" s="16" t="s">
        <v>2813</v>
      </c>
      <c r="C6" s="15" t="s">
        <v>2814</v>
      </c>
      <c r="D6" s="15" t="s">
        <v>2815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1.1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2"/>
        <v>1.1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2801</v>
      </c>
      <c r="B7" s="16" t="s">
        <v>2816</v>
      </c>
      <c r="C7" s="15" t="s">
        <v>2817</v>
      </c>
      <c r="D7" s="15" t="s">
        <v>2818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1"/>
        <v>14.15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2"/>
        <v>14.15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>
        <f>AVERAGE(AD3:AD7)</f>
        <v>20.76666667</v>
      </c>
      <c r="AE8" s="22"/>
      <c r="AF8" s="22"/>
      <c r="AG8" s="22"/>
      <c r="AH8" s="22">
        <f>SUM(AH3:AH7)</f>
        <v>40</v>
      </c>
      <c r="AI8" s="22"/>
      <c r="AJ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</sheetData>
  <hyperlinks>
    <hyperlink r:id="rId2" ref="B3"/>
    <hyperlink r:id="rId3" ref="B4"/>
    <hyperlink r:id="rId4" ref="B5"/>
    <hyperlink r:id="rId5" ref="B6"/>
    <hyperlink r:id="rId6" ref="B7"/>
  </hyperlinks>
  <printOptions/>
  <pageMargins bottom="1.0" footer="0.0" header="0.0" left="0.75" right="0.75" top="1.0"/>
  <pageSetup orientation="landscape"/>
  <drawing r:id="rId7"/>
  <legacy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69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2819</v>
      </c>
      <c r="B3" s="16" t="s">
        <v>2820</v>
      </c>
      <c r="C3" s="15" t="s">
        <v>2821</v>
      </c>
      <c r="D3" s="15" t="s">
        <v>33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20" t="s">
        <v>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35</v>
      </c>
      <c r="AF3" s="15" t="s">
        <v>35</v>
      </c>
      <c r="AG3" s="15" t="s">
        <v>35</v>
      </c>
      <c r="AH3" s="15">
        <f t="shared" ref="AH3:AH10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2819</v>
      </c>
      <c r="B4" s="16" t="s">
        <v>2822</v>
      </c>
      <c r="C4" s="15" t="s">
        <v>2823</v>
      </c>
      <c r="D4" s="15" t="s">
        <v>2824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>TEXT(D4-C4,"[mm]")/60</f>
        <v>0.15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>AVERAGE(U4:AC4)</f>
        <v>0.15</v>
      </c>
      <c r="AE4" s="15" t="s">
        <v>34</v>
      </c>
      <c r="AF4" s="15" t="s">
        <v>35</v>
      </c>
      <c r="AG4" s="15" t="s">
        <v>35</v>
      </c>
      <c r="AH4" s="15">
        <f t="shared" si="1"/>
        <v>10</v>
      </c>
      <c r="AI4" s="15"/>
      <c r="AJ4" s="15" t="s">
        <v>61</v>
      </c>
    </row>
    <row r="5" ht="15.75" customHeight="1">
      <c r="A5" s="15" t="s">
        <v>2819</v>
      </c>
      <c r="B5" s="16" t="s">
        <v>2825</v>
      </c>
      <c r="C5" s="15" t="s">
        <v>2014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2819</v>
      </c>
      <c r="B6" s="16" t="s">
        <v>2826</v>
      </c>
      <c r="C6" s="15" t="s">
        <v>2827</v>
      </c>
      <c r="D6" s="15" t="s">
        <v>2828</v>
      </c>
      <c r="E6" s="15" t="s">
        <v>2829</v>
      </c>
      <c r="F6" s="15" t="s">
        <v>2830</v>
      </c>
      <c r="G6" s="19">
        <v>46126.46666666667</v>
      </c>
      <c r="H6" s="19">
        <v>46126.48472222222</v>
      </c>
      <c r="I6" s="15" t="s">
        <v>33</v>
      </c>
      <c r="J6" s="15" t="s">
        <v>2831</v>
      </c>
      <c r="K6" s="15" t="s">
        <v>33</v>
      </c>
      <c r="L6" s="15" t="s">
        <v>865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ref="U6:U8" si="2">TEXT(D6-C6,"[mm]")/60</f>
        <v>0.3166666667</v>
      </c>
      <c r="V6" s="15">
        <f>TEXT(F6-E6,"[mm]")/60</f>
        <v>0.1</v>
      </c>
      <c r="W6" s="15">
        <f>TEXT(H6-G6,"[mm]")/60</f>
        <v>0.4333333333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ref="AD6:AD8" si="3">AVERAGE(U6:AC6)</f>
        <v>0.2833333333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2819</v>
      </c>
      <c r="B7" s="16" t="s">
        <v>2832</v>
      </c>
      <c r="C7" s="15" t="s">
        <v>2833</v>
      </c>
      <c r="D7" s="15" t="s">
        <v>2834</v>
      </c>
      <c r="E7" s="15" t="s">
        <v>2835</v>
      </c>
      <c r="F7" s="15" t="s">
        <v>33</v>
      </c>
      <c r="G7" s="15" t="s">
        <v>2836</v>
      </c>
      <c r="H7" s="15" t="s">
        <v>33</v>
      </c>
      <c r="I7" s="15" t="s">
        <v>2837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2"/>
        <v>0.2166666667</v>
      </c>
      <c r="V7" s="20" t="s">
        <v>33</v>
      </c>
      <c r="W7" s="20" t="s">
        <v>2838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3"/>
        <v>0.2166666667</v>
      </c>
      <c r="AE7" s="15" t="s">
        <v>34</v>
      </c>
      <c r="AF7" s="15" t="s">
        <v>35</v>
      </c>
      <c r="AG7" s="15" t="s">
        <v>35</v>
      </c>
      <c r="AH7" s="15">
        <f t="shared" si="1"/>
        <v>10</v>
      </c>
      <c r="AI7" s="15"/>
      <c r="AJ7" s="15" t="s">
        <v>61</v>
      </c>
    </row>
    <row r="8" ht="15.75" customHeight="1">
      <c r="A8" s="15" t="s">
        <v>2819</v>
      </c>
      <c r="B8" s="16" t="s">
        <v>2839</v>
      </c>
      <c r="C8" s="15" t="s">
        <v>2840</v>
      </c>
      <c r="D8" s="15" t="s">
        <v>220</v>
      </c>
      <c r="E8" s="15" t="s">
        <v>2841</v>
      </c>
      <c r="F8" s="15" t="s">
        <v>2842</v>
      </c>
      <c r="G8" s="15" t="s">
        <v>1000</v>
      </c>
      <c r="H8" s="15" t="s">
        <v>2843</v>
      </c>
      <c r="I8" s="15" t="s">
        <v>2844</v>
      </c>
      <c r="J8" s="15" t="s">
        <v>2845</v>
      </c>
      <c r="K8" s="15" t="s">
        <v>2846</v>
      </c>
      <c r="L8" s="15" t="s">
        <v>33</v>
      </c>
      <c r="M8" s="15" t="s">
        <v>2847</v>
      </c>
      <c r="N8" s="15" t="s">
        <v>33</v>
      </c>
      <c r="O8" s="15" t="s">
        <v>2848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2"/>
        <v>0.05</v>
      </c>
      <c r="V8" s="15">
        <f>TEXT(F8-E8,"[mm]")/60</f>
        <v>71.28333333</v>
      </c>
      <c r="W8" s="15">
        <f>TEXT(H8-G8,"[mm]")/60</f>
        <v>4.616666667</v>
      </c>
      <c r="X8" s="15">
        <f>TEXT(J8-I8,"[mm]")/60</f>
        <v>208.05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3"/>
        <v>71</v>
      </c>
      <c r="AE8" s="15" t="s">
        <v>34</v>
      </c>
      <c r="AF8" s="15" t="s">
        <v>35</v>
      </c>
      <c r="AG8" s="15" t="s">
        <v>35</v>
      </c>
      <c r="AH8" s="15">
        <f t="shared" si="1"/>
        <v>10</v>
      </c>
      <c r="AI8" s="15"/>
      <c r="AJ8" s="15" t="s">
        <v>61</v>
      </c>
    </row>
    <row r="9" ht="15.75" customHeight="1">
      <c r="A9" s="15" t="s">
        <v>2819</v>
      </c>
      <c r="B9" s="16" t="s">
        <v>2849</v>
      </c>
      <c r="C9" s="15" t="s">
        <v>2850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2819</v>
      </c>
      <c r="B10" s="16" t="s">
        <v>2851</v>
      </c>
      <c r="C10" s="15" t="s">
        <v>2852</v>
      </c>
      <c r="D10" s="15" t="s">
        <v>2853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>TEXT(D10-C10,"[mm]")/60</f>
        <v>0.3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>AVERAGE(U10:AC10)</f>
        <v>0.3</v>
      </c>
      <c r="AE10" s="15" t="s">
        <v>34</v>
      </c>
      <c r="AF10" s="15" t="s">
        <v>35</v>
      </c>
      <c r="AG10" s="15" t="s">
        <v>35</v>
      </c>
      <c r="AH10" s="15">
        <f t="shared" si="1"/>
        <v>10</v>
      </c>
      <c r="AI10" s="15"/>
      <c r="AJ10" s="15" t="s">
        <v>61</v>
      </c>
    </row>
    <row r="11">
      <c r="AD11" s="21">
        <f>AVERAGE(AD2:AD10)</f>
        <v>14.39</v>
      </c>
      <c r="AH11" s="21">
        <f>SUM(AH3:AH10)</f>
        <v>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1.0" footer="0.0" header="0.0" left="0.75" right="0.75" top="1.0"/>
  <pageSetup orientation="landscape"/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5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2854</v>
      </c>
      <c r="B3" s="23" t="s">
        <v>2855</v>
      </c>
      <c r="C3" s="15" t="s">
        <v>2856</v>
      </c>
      <c r="D3" s="15" t="s">
        <v>2857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7" si="1">TEXT(D3-C3,"[mm]")/60</f>
        <v>0.55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7" si="2">AVERAGE(U3:AC3)</f>
        <v>0.55</v>
      </c>
      <c r="AE3" s="15" t="s">
        <v>34</v>
      </c>
      <c r="AF3" s="15" t="s">
        <v>35</v>
      </c>
      <c r="AG3" s="15" t="s">
        <v>35</v>
      </c>
      <c r="AH3" s="15">
        <f t="shared" ref="AH3:AH92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2854</v>
      </c>
      <c r="B4" s="23" t="s">
        <v>2858</v>
      </c>
      <c r="C4" s="15" t="s">
        <v>1495</v>
      </c>
      <c r="D4" s="15" t="s">
        <v>2859</v>
      </c>
      <c r="E4" s="15" t="s">
        <v>2860</v>
      </c>
      <c r="F4" s="15" t="s">
        <v>2861</v>
      </c>
      <c r="G4" s="15" t="s">
        <v>2862</v>
      </c>
      <c r="H4" s="15" t="s">
        <v>2863</v>
      </c>
      <c r="I4" s="15" t="s">
        <v>2864</v>
      </c>
      <c r="J4" s="15" t="s">
        <v>2865</v>
      </c>
      <c r="K4" s="15" t="s">
        <v>2866</v>
      </c>
      <c r="L4" s="15" t="s">
        <v>33</v>
      </c>
      <c r="M4" s="15" t="s">
        <v>2867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0.1666666667</v>
      </c>
      <c r="V4" s="15">
        <f>TEXT(F4-E4,"[mm]")/60</f>
        <v>11.3</v>
      </c>
      <c r="W4" s="15">
        <f>TEXT(H4-G4,"[mm]")/60</f>
        <v>1.75</v>
      </c>
      <c r="X4" s="15">
        <f>TEXT(J4-I4,"[mm]")/60</f>
        <v>1.583333333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3.7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2854</v>
      </c>
      <c r="B5" s="23" t="s">
        <v>2868</v>
      </c>
      <c r="C5" s="15" t="s">
        <v>561</v>
      </c>
      <c r="D5" s="15" t="s">
        <v>2869</v>
      </c>
      <c r="E5" s="15" t="s">
        <v>2870</v>
      </c>
      <c r="F5" s="15" t="s">
        <v>33</v>
      </c>
      <c r="G5" s="15" t="s">
        <v>2871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1"/>
        <v>0.15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2"/>
        <v>0.15</v>
      </c>
      <c r="AE5" s="15" t="s">
        <v>34</v>
      </c>
      <c r="AF5" s="15" t="s">
        <v>35</v>
      </c>
      <c r="AG5" s="15" t="s">
        <v>35</v>
      </c>
      <c r="AH5" s="15">
        <f t="shared" si="3"/>
        <v>10</v>
      </c>
      <c r="AI5" s="15"/>
      <c r="AJ5" s="15" t="s">
        <v>61</v>
      </c>
    </row>
    <row r="6" ht="15.75" customHeight="1">
      <c r="A6" s="15" t="s">
        <v>2854</v>
      </c>
      <c r="B6" s="23" t="s">
        <v>2872</v>
      </c>
      <c r="C6" s="15" t="s">
        <v>2873</v>
      </c>
      <c r="D6" s="15" t="s">
        <v>2874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1"/>
        <v>0.15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2"/>
        <v>0.15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2854</v>
      </c>
      <c r="B7" s="23" t="s">
        <v>2875</v>
      </c>
      <c r="C7" s="15" t="s">
        <v>2876</v>
      </c>
      <c r="D7" s="15" t="s">
        <v>2877</v>
      </c>
      <c r="E7" s="15" t="s">
        <v>2878</v>
      </c>
      <c r="F7" s="15" t="s">
        <v>1156</v>
      </c>
      <c r="G7" s="15" t="s">
        <v>2879</v>
      </c>
      <c r="H7" s="15" t="s">
        <v>33</v>
      </c>
      <c r="I7" s="15" t="s">
        <v>614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1"/>
        <v>2.733333333</v>
      </c>
      <c r="V7" s="15">
        <f>TEXT(F7-E7,"[mm]")/60</f>
        <v>7.8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2"/>
        <v>5.266666667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2854</v>
      </c>
      <c r="B8" s="23" t="s">
        <v>2880</v>
      </c>
      <c r="C8" s="15" t="s">
        <v>2876</v>
      </c>
      <c r="D8" s="15" t="s">
        <v>33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20" t="s">
        <v>33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20" t="s">
        <v>33</v>
      </c>
      <c r="AE8" s="15" t="s">
        <v>35</v>
      </c>
      <c r="AF8" s="15" t="s">
        <v>35</v>
      </c>
      <c r="AG8" s="15" t="s">
        <v>35</v>
      </c>
      <c r="AH8" s="15">
        <f t="shared" si="3"/>
        <v>-15</v>
      </c>
      <c r="AI8" s="15"/>
      <c r="AJ8" s="15" t="s">
        <v>61</v>
      </c>
    </row>
    <row r="9" ht="15.75" customHeight="1">
      <c r="A9" s="15" t="s">
        <v>2854</v>
      </c>
      <c r="B9" s="23" t="s">
        <v>2881</v>
      </c>
      <c r="C9" s="15" t="s">
        <v>2882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15" t="s">
        <v>35</v>
      </c>
      <c r="AF9" s="15" t="s">
        <v>35</v>
      </c>
      <c r="AG9" s="15" t="s">
        <v>35</v>
      </c>
      <c r="AH9" s="15">
        <f t="shared" si="3"/>
        <v>-15</v>
      </c>
      <c r="AI9" s="15"/>
      <c r="AJ9" s="15" t="s">
        <v>61</v>
      </c>
    </row>
    <row r="10" ht="15.75" customHeight="1">
      <c r="A10" s="15" t="s">
        <v>2854</v>
      </c>
      <c r="B10" s="23" t="s">
        <v>2883</v>
      </c>
      <c r="C10" s="15" t="s">
        <v>2884</v>
      </c>
      <c r="D10" s="15" t="s">
        <v>2885</v>
      </c>
      <c r="E10" s="15" t="s">
        <v>2886</v>
      </c>
      <c r="F10" s="15" t="s">
        <v>2887</v>
      </c>
      <c r="G10" s="15" t="s">
        <v>2888</v>
      </c>
      <c r="H10" s="15" t="s">
        <v>2889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ref="U10:U18" si="4">TEXT(D10-C10,"[mm]")/60</f>
        <v>9.85</v>
      </c>
      <c r="V10" s="15">
        <f>TEXT(F10-E10,"[mm]")/60</f>
        <v>5.75</v>
      </c>
      <c r="W10" s="15">
        <f>TEXT(H10-G10,"[mm]")/60</f>
        <v>0.65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ref="AD10:AD18" si="5">AVERAGE(U10:AC10)</f>
        <v>5.416666667</v>
      </c>
      <c r="AE10" s="15" t="s">
        <v>34</v>
      </c>
      <c r="AF10" s="15" t="s">
        <v>35</v>
      </c>
      <c r="AG10" s="15" t="s">
        <v>35</v>
      </c>
      <c r="AH10" s="15">
        <f t="shared" si="3"/>
        <v>10</v>
      </c>
      <c r="AI10" s="15"/>
      <c r="AJ10" s="15" t="s">
        <v>61</v>
      </c>
    </row>
    <row r="11" ht="15.75" customHeight="1">
      <c r="A11" s="15" t="s">
        <v>2854</v>
      </c>
      <c r="B11" s="23" t="s">
        <v>2890</v>
      </c>
      <c r="C11" s="15" t="s">
        <v>2891</v>
      </c>
      <c r="D11" s="15" t="s">
        <v>2892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si="4"/>
        <v>0.6166666667</v>
      </c>
      <c r="V11" s="20" t="s">
        <v>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si="5"/>
        <v>0.6166666667</v>
      </c>
      <c r="AE11" s="15" t="s">
        <v>34</v>
      </c>
      <c r="AF11" s="15" t="s">
        <v>35</v>
      </c>
      <c r="AG11" s="15" t="s">
        <v>35</v>
      </c>
      <c r="AH11" s="15">
        <f t="shared" si="3"/>
        <v>10</v>
      </c>
      <c r="AI11" s="15"/>
      <c r="AJ11" s="15" t="s">
        <v>61</v>
      </c>
    </row>
    <row r="12" ht="15.75" customHeight="1">
      <c r="A12" s="15" t="s">
        <v>2854</v>
      </c>
      <c r="B12" s="23" t="s">
        <v>2893</v>
      </c>
      <c r="C12" s="15" t="s">
        <v>2894</v>
      </c>
      <c r="D12" s="15" t="s">
        <v>2895</v>
      </c>
      <c r="E12" s="19">
        <v>46141.165972222225</v>
      </c>
      <c r="F12" s="19">
        <v>46152.82013888889</v>
      </c>
      <c r="G12" s="19">
        <v>46152.822222222225</v>
      </c>
      <c r="H12" s="19">
        <v>46155.45347222222</v>
      </c>
      <c r="I12" s="19">
        <v>46153.85625</v>
      </c>
      <c r="J12" s="19">
        <v>46155.50625</v>
      </c>
      <c r="K12" s="19">
        <v>46155.46388888889</v>
      </c>
      <c r="L12" s="19">
        <v>46155.54375</v>
      </c>
      <c r="M12" s="15" t="s">
        <v>33</v>
      </c>
      <c r="N12" s="15" t="s">
        <v>2896</v>
      </c>
      <c r="O12" s="15" t="s">
        <v>33</v>
      </c>
      <c r="P12" s="15" t="s">
        <v>2897</v>
      </c>
      <c r="Q12" s="15" t="s">
        <v>33</v>
      </c>
      <c r="R12" s="15" t="s">
        <v>2898</v>
      </c>
      <c r="S12" s="15" t="s">
        <v>33</v>
      </c>
      <c r="T12" s="15" t="s">
        <v>33</v>
      </c>
      <c r="U12" s="15">
        <f t="shared" si="4"/>
        <v>0.1166666667</v>
      </c>
      <c r="V12" s="15">
        <f t="shared" ref="V12:V13" si="6">TEXT(F12-E12,"[mm]")/60</f>
        <v>279.7</v>
      </c>
      <c r="W12" s="15">
        <f t="shared" ref="W12:W13" si="7">TEXT(H12-G12,"[mm]")/60</f>
        <v>63.15</v>
      </c>
      <c r="X12" s="15">
        <f t="shared" ref="X12:X13" si="8">TEXT(J12-I12,"[mm]")/60</f>
        <v>39.6</v>
      </c>
      <c r="Y12" s="15">
        <f t="shared" ref="Y12:Y13" si="9">TEXT(L12-K12,"[mm]")/60</f>
        <v>1.916666667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5"/>
        <v>76.89666667</v>
      </c>
      <c r="AE12" s="15" t="s">
        <v>34</v>
      </c>
      <c r="AF12" s="15" t="s">
        <v>35</v>
      </c>
      <c r="AG12" s="15" t="s">
        <v>35</v>
      </c>
      <c r="AH12" s="15">
        <f t="shared" si="3"/>
        <v>10</v>
      </c>
      <c r="AI12" s="15"/>
      <c r="AJ12" s="15" t="s">
        <v>61</v>
      </c>
    </row>
    <row r="13" ht="15.75" customHeight="1">
      <c r="A13" s="15" t="s">
        <v>2854</v>
      </c>
      <c r="B13" s="23" t="s">
        <v>2899</v>
      </c>
      <c r="C13" s="15" t="s">
        <v>2900</v>
      </c>
      <c r="D13" s="15" t="s">
        <v>2901</v>
      </c>
      <c r="E13" s="15" t="s">
        <v>2902</v>
      </c>
      <c r="F13" s="15" t="s">
        <v>2903</v>
      </c>
      <c r="G13" s="15" t="s">
        <v>2904</v>
      </c>
      <c r="H13" s="15" t="s">
        <v>2905</v>
      </c>
      <c r="I13" s="15" t="s">
        <v>2906</v>
      </c>
      <c r="J13" s="15" t="s">
        <v>2907</v>
      </c>
      <c r="K13" s="15" t="s">
        <v>2908</v>
      </c>
      <c r="L13" s="15" t="s">
        <v>2909</v>
      </c>
      <c r="M13" s="15" t="s">
        <v>2910</v>
      </c>
      <c r="N13" s="15" t="s">
        <v>2911</v>
      </c>
      <c r="O13" s="19">
        <v>46154.69305555556</v>
      </c>
      <c r="P13" s="19">
        <v>46156.72083333333</v>
      </c>
      <c r="Q13" s="15" t="s">
        <v>33</v>
      </c>
      <c r="R13" s="15" t="s">
        <v>2912</v>
      </c>
      <c r="S13" s="15" t="s">
        <v>33</v>
      </c>
      <c r="T13" s="15" t="s">
        <v>2913</v>
      </c>
      <c r="U13" s="15">
        <f t="shared" si="4"/>
        <v>0.08333333333</v>
      </c>
      <c r="V13" s="15">
        <f t="shared" si="6"/>
        <v>14.13333333</v>
      </c>
      <c r="W13" s="15">
        <f t="shared" si="7"/>
        <v>11.56666667</v>
      </c>
      <c r="X13" s="15">
        <f t="shared" si="8"/>
        <v>0.2166666667</v>
      </c>
      <c r="Y13" s="15">
        <f t="shared" si="9"/>
        <v>0.1166666667</v>
      </c>
      <c r="Z13" s="15">
        <f>TEXT(N13-M13,"[mm]")/60</f>
        <v>0.1</v>
      </c>
      <c r="AA13" s="15">
        <f>TEXT(P13-O13,"[mm]")/60</f>
        <v>48.66666667</v>
      </c>
      <c r="AB13" s="20" t="s">
        <v>33</v>
      </c>
      <c r="AC13" s="20" t="s">
        <v>33</v>
      </c>
      <c r="AD13" s="15">
        <f t="shared" si="5"/>
        <v>10.69761905</v>
      </c>
      <c r="AE13" s="15" t="s">
        <v>34</v>
      </c>
      <c r="AF13" s="15" t="s">
        <v>35</v>
      </c>
      <c r="AG13" s="15" t="s">
        <v>35</v>
      </c>
      <c r="AH13" s="15">
        <f t="shared" si="3"/>
        <v>10</v>
      </c>
      <c r="AI13" s="15"/>
      <c r="AJ13" s="15" t="s">
        <v>61</v>
      </c>
    </row>
    <row r="14" ht="15.75" customHeight="1">
      <c r="A14" s="15" t="s">
        <v>2854</v>
      </c>
      <c r="B14" s="23" t="s">
        <v>2914</v>
      </c>
      <c r="C14" s="15" t="s">
        <v>2915</v>
      </c>
      <c r="D14" s="15" t="s">
        <v>2916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>
        <f t="shared" si="4"/>
        <v>0.2166666667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15">
        <f t="shared" si="5"/>
        <v>0.2166666667</v>
      </c>
      <c r="AE14" s="15" t="s">
        <v>34</v>
      </c>
      <c r="AF14" s="15" t="s">
        <v>35</v>
      </c>
      <c r="AG14" s="15" t="s">
        <v>35</v>
      </c>
      <c r="AH14" s="15">
        <f t="shared" si="3"/>
        <v>10</v>
      </c>
      <c r="AI14" s="15"/>
      <c r="AJ14" s="15" t="s">
        <v>61</v>
      </c>
    </row>
    <row r="15" ht="15.75" customHeight="1">
      <c r="A15" s="15" t="s">
        <v>2854</v>
      </c>
      <c r="B15" s="23" t="s">
        <v>2917</v>
      </c>
      <c r="C15" s="15" t="s">
        <v>2918</v>
      </c>
      <c r="D15" s="15" t="s">
        <v>2919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si="4"/>
        <v>0.2833333333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si="5"/>
        <v>0.2833333333</v>
      </c>
      <c r="AE15" s="15" t="s">
        <v>34</v>
      </c>
      <c r="AF15" s="15" t="s">
        <v>35</v>
      </c>
      <c r="AG15" s="15" t="s">
        <v>35</v>
      </c>
      <c r="AH15" s="15">
        <f t="shared" si="3"/>
        <v>10</v>
      </c>
      <c r="AI15" s="15"/>
      <c r="AJ15" s="15" t="s">
        <v>61</v>
      </c>
    </row>
    <row r="16" ht="15.75" customHeight="1">
      <c r="A16" s="15" t="s">
        <v>2854</v>
      </c>
      <c r="B16" s="23" t="s">
        <v>2920</v>
      </c>
      <c r="C16" s="15" t="s">
        <v>2921</v>
      </c>
      <c r="D16" s="15" t="s">
        <v>1898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4"/>
        <v>0.03333333333</v>
      </c>
      <c r="V16" s="20" t="s">
        <v>33</v>
      </c>
      <c r="W16" s="20" t="s">
        <v>33</v>
      </c>
      <c r="X16" s="20" t="s">
        <v>33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si="5"/>
        <v>0.03333333333</v>
      </c>
      <c r="AE16" s="15" t="s">
        <v>34</v>
      </c>
      <c r="AF16" s="15" t="s">
        <v>35</v>
      </c>
      <c r="AG16" s="15" t="s">
        <v>35</v>
      </c>
      <c r="AH16" s="15">
        <f t="shared" si="3"/>
        <v>10</v>
      </c>
      <c r="AI16" s="15"/>
      <c r="AJ16" s="15" t="s">
        <v>61</v>
      </c>
    </row>
    <row r="17" ht="15.75" customHeight="1">
      <c r="A17" s="15" t="s">
        <v>2854</v>
      </c>
      <c r="B17" s="23" t="s">
        <v>2922</v>
      </c>
      <c r="C17" s="15" t="s">
        <v>2923</v>
      </c>
      <c r="D17" s="15" t="s">
        <v>2924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4"/>
        <v>0.8833333333</v>
      </c>
      <c r="V17" s="20" t="s">
        <v>33</v>
      </c>
      <c r="W17" s="20" t="s">
        <v>33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si="5"/>
        <v>0.8833333333</v>
      </c>
      <c r="AE17" s="15" t="s">
        <v>34</v>
      </c>
      <c r="AF17" s="15" t="s">
        <v>35</v>
      </c>
      <c r="AG17" s="15" t="s">
        <v>35</v>
      </c>
      <c r="AH17" s="15">
        <f t="shared" si="3"/>
        <v>10</v>
      </c>
      <c r="AI17" s="15"/>
      <c r="AJ17" s="15" t="s">
        <v>61</v>
      </c>
    </row>
    <row r="18" ht="15.75" customHeight="1">
      <c r="A18" s="15" t="s">
        <v>2854</v>
      </c>
      <c r="B18" s="23" t="s">
        <v>2925</v>
      </c>
      <c r="C18" s="15" t="s">
        <v>2926</v>
      </c>
      <c r="D18" s="15" t="s">
        <v>2927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>
        <f t="shared" si="4"/>
        <v>25.71666667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15">
        <f t="shared" si="5"/>
        <v>25.71666667</v>
      </c>
      <c r="AE18" s="15" t="s">
        <v>35</v>
      </c>
      <c r="AF18" s="15" t="s">
        <v>34</v>
      </c>
      <c r="AG18" s="15" t="s">
        <v>35</v>
      </c>
      <c r="AH18" s="15">
        <f t="shared" si="3"/>
        <v>5</v>
      </c>
      <c r="AI18" s="15"/>
      <c r="AJ18" s="15" t="s">
        <v>61</v>
      </c>
    </row>
    <row r="19" ht="15.75" customHeight="1">
      <c r="A19" s="15" t="s">
        <v>2854</v>
      </c>
      <c r="B19" s="23" t="s">
        <v>2928</v>
      </c>
      <c r="C19" s="15" t="s">
        <v>2929</v>
      </c>
      <c r="D19" s="15" t="s">
        <v>33</v>
      </c>
      <c r="E19" s="15" t="s">
        <v>33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20" t="s">
        <v>33</v>
      </c>
      <c r="V19" s="20" t="s">
        <v>33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20" t="s">
        <v>33</v>
      </c>
      <c r="AE19" s="15" t="s">
        <v>35</v>
      </c>
      <c r="AF19" s="15" t="s">
        <v>35</v>
      </c>
      <c r="AG19" s="15" t="s">
        <v>35</v>
      </c>
      <c r="AH19" s="15">
        <f t="shared" si="3"/>
        <v>-15</v>
      </c>
      <c r="AI19" s="15"/>
      <c r="AJ19" s="15" t="s">
        <v>61</v>
      </c>
    </row>
    <row r="20" ht="15.75" customHeight="1">
      <c r="A20" s="15" t="s">
        <v>2854</v>
      </c>
      <c r="B20" s="23" t="s">
        <v>2930</v>
      </c>
      <c r="C20" s="15" t="s">
        <v>2931</v>
      </c>
      <c r="D20" s="15" t="s">
        <v>2932</v>
      </c>
      <c r="E20" s="15" t="s">
        <v>2933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ref="U20:U21" si="10">TEXT(D20-C20,"[mm]")/60</f>
        <v>0.25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ref="AD20:AD21" si="11">AVERAGE(U20:AC20)</f>
        <v>0.25</v>
      </c>
      <c r="AE20" s="15" t="s">
        <v>34</v>
      </c>
      <c r="AF20" s="15" t="s">
        <v>35</v>
      </c>
      <c r="AG20" s="15" t="s">
        <v>35</v>
      </c>
      <c r="AH20" s="15">
        <f t="shared" si="3"/>
        <v>10</v>
      </c>
      <c r="AI20" s="15"/>
      <c r="AJ20" s="15" t="s">
        <v>61</v>
      </c>
    </row>
    <row r="21" ht="15.75" customHeight="1">
      <c r="A21" s="15" t="s">
        <v>2854</v>
      </c>
      <c r="B21" s="23" t="s">
        <v>2934</v>
      </c>
      <c r="C21" s="15" t="s">
        <v>2935</v>
      </c>
      <c r="D21" s="15" t="s">
        <v>2936</v>
      </c>
      <c r="E21" s="15" t="s">
        <v>33</v>
      </c>
      <c r="F21" s="15" t="s">
        <v>2937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>
        <f t="shared" si="10"/>
        <v>28.46666667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15">
        <f t="shared" si="11"/>
        <v>28.46666667</v>
      </c>
      <c r="AE21" s="15" t="s">
        <v>35</v>
      </c>
      <c r="AF21" s="15" t="s">
        <v>34</v>
      </c>
      <c r="AG21" s="15" t="s">
        <v>35</v>
      </c>
      <c r="AH21" s="15">
        <f t="shared" si="3"/>
        <v>5</v>
      </c>
      <c r="AI21" s="15"/>
      <c r="AJ21" s="15" t="s">
        <v>61</v>
      </c>
    </row>
    <row r="22" ht="15.75" customHeight="1">
      <c r="A22" s="15" t="s">
        <v>2854</v>
      </c>
      <c r="B22" s="23" t="s">
        <v>2938</v>
      </c>
      <c r="C22" s="15" t="s">
        <v>2939</v>
      </c>
      <c r="D22" s="15" t="s">
        <v>33</v>
      </c>
      <c r="E22" s="15" t="s">
        <v>2940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20" t="s">
        <v>33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20" t="s">
        <v>33</v>
      </c>
      <c r="AE22" s="15" t="s">
        <v>35</v>
      </c>
      <c r="AF22" s="15" t="s">
        <v>35</v>
      </c>
      <c r="AG22" s="15" t="s">
        <v>35</v>
      </c>
      <c r="AH22" s="15">
        <f t="shared" si="3"/>
        <v>-15</v>
      </c>
      <c r="AI22" s="15"/>
      <c r="AJ22" s="15" t="s">
        <v>61</v>
      </c>
    </row>
    <row r="23" ht="15.75" customHeight="1">
      <c r="A23" s="15" t="s">
        <v>2854</v>
      </c>
      <c r="B23" s="23" t="s">
        <v>2941</v>
      </c>
      <c r="C23" s="15" t="s">
        <v>2942</v>
      </c>
      <c r="D23" s="15" t="s">
        <v>2943</v>
      </c>
      <c r="E23" s="15" t="s">
        <v>33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>
        <f t="shared" ref="U23:U25" si="12">TEXT(D23-C23,"[mm]")/60</f>
        <v>0.08333333333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15">
        <f t="shared" ref="AD23:AD25" si="13">AVERAGE(U23:AC23)</f>
        <v>0.08333333333</v>
      </c>
      <c r="AE23" s="15" t="s">
        <v>34</v>
      </c>
      <c r="AF23" s="15" t="s">
        <v>35</v>
      </c>
      <c r="AG23" s="15" t="s">
        <v>35</v>
      </c>
      <c r="AH23" s="15">
        <f t="shared" si="3"/>
        <v>10</v>
      </c>
      <c r="AI23" s="15"/>
      <c r="AJ23" s="15" t="s">
        <v>61</v>
      </c>
    </row>
    <row r="24" ht="15.75" customHeight="1">
      <c r="A24" s="15" t="s">
        <v>2854</v>
      </c>
      <c r="B24" s="23" t="s">
        <v>2944</v>
      </c>
      <c r="C24" s="15" t="s">
        <v>2945</v>
      </c>
      <c r="D24" s="15" t="s">
        <v>2946</v>
      </c>
      <c r="E24" s="15" t="s">
        <v>2947</v>
      </c>
      <c r="F24" s="15" t="s">
        <v>2948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15">
        <f t="shared" si="12"/>
        <v>0.15</v>
      </c>
      <c r="V24" s="15">
        <f t="shared" ref="V24:V25" si="14">TEXT(F24-E24,"[mm]")/60</f>
        <v>30.11666667</v>
      </c>
      <c r="W24" s="20" t="s">
        <v>33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15">
        <f t="shared" si="13"/>
        <v>15.13333333</v>
      </c>
      <c r="AE24" s="15" t="s">
        <v>34</v>
      </c>
      <c r="AF24" s="15" t="s">
        <v>35</v>
      </c>
      <c r="AG24" s="15" t="s">
        <v>35</v>
      </c>
      <c r="AH24" s="15">
        <f t="shared" si="3"/>
        <v>10</v>
      </c>
      <c r="AI24" s="15"/>
      <c r="AJ24" s="15" t="s">
        <v>61</v>
      </c>
    </row>
    <row r="25" ht="15.75" customHeight="1">
      <c r="A25" s="15" t="s">
        <v>2854</v>
      </c>
      <c r="B25" s="23" t="s">
        <v>2949</v>
      </c>
      <c r="C25" s="15" t="s">
        <v>2950</v>
      </c>
      <c r="D25" s="15" t="s">
        <v>2951</v>
      </c>
      <c r="E25" s="15" t="s">
        <v>2952</v>
      </c>
      <c r="F25" s="15" t="s">
        <v>2953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si="12"/>
        <v>0.2333333333</v>
      </c>
      <c r="V25" s="15">
        <f t="shared" si="14"/>
        <v>0.1166666667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si="13"/>
        <v>0.175</v>
      </c>
      <c r="AE25" s="15" t="s">
        <v>34</v>
      </c>
      <c r="AF25" s="15" t="s">
        <v>35</v>
      </c>
      <c r="AG25" s="15" t="s">
        <v>35</v>
      </c>
      <c r="AH25" s="15">
        <f t="shared" si="3"/>
        <v>10</v>
      </c>
      <c r="AI25" s="15"/>
      <c r="AJ25" s="15" t="s">
        <v>61</v>
      </c>
    </row>
    <row r="26" ht="15.75" customHeight="1">
      <c r="A26" s="15" t="s">
        <v>2854</v>
      </c>
      <c r="B26" s="23" t="s">
        <v>2954</v>
      </c>
      <c r="C26" s="15" t="s">
        <v>2955</v>
      </c>
      <c r="D26" s="15" t="s">
        <v>33</v>
      </c>
      <c r="E26" s="15" t="s">
        <v>33</v>
      </c>
      <c r="F26" s="15" t="s">
        <v>33</v>
      </c>
      <c r="G26" s="15" t="s">
        <v>33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20" t="s">
        <v>33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20" t="s">
        <v>33</v>
      </c>
      <c r="AE26" s="15" t="s">
        <v>35</v>
      </c>
      <c r="AF26" s="15" t="s">
        <v>35</v>
      </c>
      <c r="AG26" s="15" t="s">
        <v>35</v>
      </c>
      <c r="AH26" s="15">
        <f t="shared" si="3"/>
        <v>-15</v>
      </c>
      <c r="AI26" s="15"/>
      <c r="AJ26" s="15" t="s">
        <v>61</v>
      </c>
    </row>
    <row r="27" ht="15.75" customHeight="1">
      <c r="A27" s="15" t="s">
        <v>2854</v>
      </c>
      <c r="B27" s="23" t="s">
        <v>2956</v>
      </c>
      <c r="C27" s="15" t="s">
        <v>2957</v>
      </c>
      <c r="D27" s="15" t="s">
        <v>2958</v>
      </c>
      <c r="E27" s="15" t="s">
        <v>33</v>
      </c>
      <c r="F27" s="15" t="s">
        <v>2959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>TEXT(D27-C27,"[mm]")/60</f>
        <v>0.08333333333</v>
      </c>
      <c r="V27" s="20" t="s">
        <v>33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>AVERAGE(U27:AC27)</f>
        <v>0.08333333333</v>
      </c>
      <c r="AE27" s="15" t="s">
        <v>34</v>
      </c>
      <c r="AF27" s="15" t="s">
        <v>35</v>
      </c>
      <c r="AG27" s="15" t="s">
        <v>35</v>
      </c>
      <c r="AH27" s="15">
        <f t="shared" si="3"/>
        <v>10</v>
      </c>
      <c r="AI27" s="15"/>
      <c r="AJ27" s="15" t="s">
        <v>61</v>
      </c>
    </row>
    <row r="28" ht="15.75" customHeight="1">
      <c r="A28" s="15" t="s">
        <v>2854</v>
      </c>
      <c r="B28" s="23" t="s">
        <v>2960</v>
      </c>
      <c r="C28" s="15" t="s">
        <v>2961</v>
      </c>
      <c r="D28" s="15" t="s">
        <v>33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20" t="s">
        <v>33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20" t="s">
        <v>33</v>
      </c>
      <c r="AE28" s="15" t="s">
        <v>35</v>
      </c>
      <c r="AF28" s="15" t="s">
        <v>35</v>
      </c>
      <c r="AG28" s="15" t="s">
        <v>35</v>
      </c>
      <c r="AH28" s="15">
        <f t="shared" si="3"/>
        <v>-15</v>
      </c>
      <c r="AI28" s="15"/>
      <c r="AJ28" s="15" t="s">
        <v>61</v>
      </c>
    </row>
    <row r="29" ht="15.75" customHeight="1">
      <c r="A29" s="15" t="s">
        <v>2854</v>
      </c>
      <c r="B29" s="23" t="s">
        <v>2962</v>
      </c>
      <c r="C29" s="15" t="s">
        <v>2963</v>
      </c>
      <c r="D29" s="15" t="s">
        <v>2964</v>
      </c>
      <c r="E29" s="15" t="s">
        <v>33</v>
      </c>
      <c r="F29" s="15" t="s">
        <v>33</v>
      </c>
      <c r="G29" s="15" t="s">
        <v>33</v>
      </c>
      <c r="H29" s="15" t="s">
        <v>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>TEXT(D29-C29,"[mm]")/60</f>
        <v>3.05</v>
      </c>
      <c r="V29" s="20" t="s">
        <v>33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>AVERAGE(U29:AC29)</f>
        <v>3.05</v>
      </c>
      <c r="AE29" s="15" t="s">
        <v>34</v>
      </c>
      <c r="AF29" s="15" t="s">
        <v>35</v>
      </c>
      <c r="AG29" s="15" t="s">
        <v>35</v>
      </c>
      <c r="AH29" s="15">
        <f t="shared" si="3"/>
        <v>10</v>
      </c>
      <c r="AI29" s="15"/>
      <c r="AJ29" s="15" t="s">
        <v>61</v>
      </c>
    </row>
    <row r="30" ht="15.75" customHeight="1">
      <c r="A30" s="15" t="s">
        <v>2854</v>
      </c>
      <c r="B30" s="23" t="s">
        <v>2965</v>
      </c>
      <c r="C30" s="15" t="s">
        <v>2966</v>
      </c>
      <c r="D30" s="15" t="s">
        <v>33</v>
      </c>
      <c r="E30" s="15" t="s">
        <v>33</v>
      </c>
      <c r="F30" s="15" t="s">
        <v>33</v>
      </c>
      <c r="G30" s="15" t="s">
        <v>33</v>
      </c>
      <c r="H30" s="15" t="s">
        <v>33</v>
      </c>
      <c r="I30" s="15" t="s">
        <v>33</v>
      </c>
      <c r="J30" s="15" t="s">
        <v>33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20" t="s">
        <v>33</v>
      </c>
      <c r="V30" s="20" t="s">
        <v>33</v>
      </c>
      <c r="W30" s="20" t="s">
        <v>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20" t="s">
        <v>33</v>
      </c>
      <c r="AE30" s="15" t="s">
        <v>35</v>
      </c>
      <c r="AF30" s="15" t="s">
        <v>35</v>
      </c>
      <c r="AG30" s="15" t="s">
        <v>35</v>
      </c>
      <c r="AH30" s="15">
        <f t="shared" si="3"/>
        <v>-15</v>
      </c>
      <c r="AI30" s="15"/>
      <c r="AJ30" s="15" t="s">
        <v>61</v>
      </c>
    </row>
    <row r="31" ht="15.75" customHeight="1">
      <c r="A31" s="15" t="s">
        <v>2854</v>
      </c>
      <c r="B31" s="23" t="s">
        <v>2967</v>
      </c>
      <c r="C31" s="15" t="s">
        <v>2968</v>
      </c>
      <c r="D31" s="15" t="s">
        <v>2969</v>
      </c>
      <c r="E31" s="15" t="s">
        <v>2970</v>
      </c>
      <c r="F31" s="15" t="s">
        <v>33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ref="U31:U41" si="15">TEXT(D31-C31,"[mm]")/60</f>
        <v>0.45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ref="AD31:AD41" si="16">AVERAGE(U31:AC31)</f>
        <v>0.45</v>
      </c>
      <c r="AE31" s="15" t="s">
        <v>34</v>
      </c>
      <c r="AF31" s="15" t="s">
        <v>35</v>
      </c>
      <c r="AG31" s="15" t="s">
        <v>35</v>
      </c>
      <c r="AH31" s="15">
        <f t="shared" si="3"/>
        <v>10</v>
      </c>
      <c r="AI31" s="15"/>
      <c r="AJ31" s="15" t="s">
        <v>61</v>
      </c>
    </row>
    <row r="32" ht="15.75" customHeight="1">
      <c r="A32" s="15" t="s">
        <v>2854</v>
      </c>
      <c r="B32" s="23" t="s">
        <v>2971</v>
      </c>
      <c r="C32" s="15" t="s">
        <v>1296</v>
      </c>
      <c r="D32" s="15" t="s">
        <v>2972</v>
      </c>
      <c r="E32" s="15" t="s">
        <v>2973</v>
      </c>
      <c r="F32" s="15" t="s">
        <v>33</v>
      </c>
      <c r="G32" s="15" t="s">
        <v>33</v>
      </c>
      <c r="H32" s="15" t="s">
        <v>33</v>
      </c>
      <c r="I32" s="15" t="s">
        <v>33</v>
      </c>
      <c r="J32" s="15" t="s">
        <v>33</v>
      </c>
      <c r="K32" s="15" t="s">
        <v>33</v>
      </c>
      <c r="L32" s="15" t="s">
        <v>33</v>
      </c>
      <c r="M32" s="15" t="s">
        <v>33</v>
      </c>
      <c r="N32" s="15" t="s">
        <v>33</v>
      </c>
      <c r="O32" s="15" t="s">
        <v>33</v>
      </c>
      <c r="P32" s="15" t="s">
        <v>33</v>
      </c>
      <c r="Q32" s="15" t="s">
        <v>33</v>
      </c>
      <c r="R32" s="15" t="s">
        <v>33</v>
      </c>
      <c r="S32" s="15" t="s">
        <v>33</v>
      </c>
      <c r="T32" s="15" t="s">
        <v>33</v>
      </c>
      <c r="U32" s="15">
        <f t="shared" si="15"/>
        <v>0.4166666667</v>
      </c>
      <c r="V32" s="20" t="s">
        <v>33</v>
      </c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16"/>
        <v>0.4166666667</v>
      </c>
      <c r="AE32" s="15" t="s">
        <v>34</v>
      </c>
      <c r="AF32" s="15" t="s">
        <v>35</v>
      </c>
      <c r="AG32" s="15" t="s">
        <v>35</v>
      </c>
      <c r="AH32" s="15">
        <f t="shared" si="3"/>
        <v>10</v>
      </c>
      <c r="AI32" s="15"/>
      <c r="AJ32" s="15" t="s">
        <v>61</v>
      </c>
    </row>
    <row r="33" ht="15.75" customHeight="1">
      <c r="A33" s="15" t="s">
        <v>2854</v>
      </c>
      <c r="B33" s="23" t="s">
        <v>2974</v>
      </c>
      <c r="C33" s="15" t="s">
        <v>2975</v>
      </c>
      <c r="D33" s="15" t="s">
        <v>2976</v>
      </c>
      <c r="E33" s="15" t="s">
        <v>33</v>
      </c>
      <c r="F33" s="15" t="s">
        <v>33</v>
      </c>
      <c r="G33" s="15" t="s">
        <v>33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15"/>
        <v>0.3333333333</v>
      </c>
      <c r="V33" s="20" t="s">
        <v>33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si="16"/>
        <v>0.3333333333</v>
      </c>
      <c r="AE33" s="15" t="s">
        <v>34</v>
      </c>
      <c r="AF33" s="15" t="s">
        <v>35</v>
      </c>
      <c r="AG33" s="15" t="s">
        <v>35</v>
      </c>
      <c r="AH33" s="15">
        <f t="shared" si="3"/>
        <v>10</v>
      </c>
      <c r="AI33" s="15"/>
      <c r="AJ33" s="15" t="s">
        <v>61</v>
      </c>
    </row>
    <row r="34" ht="15.75" customHeight="1">
      <c r="A34" s="15" t="s">
        <v>2854</v>
      </c>
      <c r="B34" s="23" t="s">
        <v>2977</v>
      </c>
      <c r="C34" s="15" t="s">
        <v>2978</v>
      </c>
      <c r="D34" s="15" t="s">
        <v>2979</v>
      </c>
      <c r="E34" s="15" t="s">
        <v>2980</v>
      </c>
      <c r="F34" s="15" t="s">
        <v>33</v>
      </c>
      <c r="G34" s="15" t="s">
        <v>2981</v>
      </c>
      <c r="H34" s="15" t="s">
        <v>33</v>
      </c>
      <c r="I34" s="15" t="s">
        <v>2982</v>
      </c>
      <c r="J34" s="15" t="s">
        <v>33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15">
        <f t="shared" si="15"/>
        <v>0.1166666667</v>
      </c>
      <c r="V34" s="20" t="s">
        <v>33</v>
      </c>
      <c r="W34" s="20" t="s">
        <v>33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15">
        <f t="shared" si="16"/>
        <v>0.1166666667</v>
      </c>
      <c r="AE34" s="15" t="s">
        <v>34</v>
      </c>
      <c r="AF34" s="15" t="s">
        <v>35</v>
      </c>
      <c r="AG34" s="15" t="s">
        <v>35</v>
      </c>
      <c r="AH34" s="15">
        <f t="shared" si="3"/>
        <v>10</v>
      </c>
      <c r="AI34" s="15"/>
      <c r="AJ34" s="15" t="s">
        <v>61</v>
      </c>
    </row>
    <row r="35" ht="15.75" customHeight="1">
      <c r="A35" s="15" t="s">
        <v>2854</v>
      </c>
      <c r="B35" s="23" t="s">
        <v>2983</v>
      </c>
      <c r="C35" s="15" t="s">
        <v>135</v>
      </c>
      <c r="D35" s="15" t="s">
        <v>2984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15">
        <f t="shared" si="15"/>
        <v>0.4833333333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15">
        <f t="shared" si="16"/>
        <v>0.4833333333</v>
      </c>
      <c r="AE35" s="15" t="s">
        <v>34</v>
      </c>
      <c r="AF35" s="15" t="s">
        <v>35</v>
      </c>
      <c r="AG35" s="15" t="s">
        <v>35</v>
      </c>
      <c r="AH35" s="15">
        <f t="shared" si="3"/>
        <v>10</v>
      </c>
      <c r="AI35" s="15"/>
      <c r="AJ35" s="15" t="s">
        <v>61</v>
      </c>
    </row>
    <row r="36" ht="15.75" customHeight="1">
      <c r="A36" s="15" t="s">
        <v>2854</v>
      </c>
      <c r="B36" s="23" t="s">
        <v>2985</v>
      </c>
      <c r="C36" s="15" t="s">
        <v>2986</v>
      </c>
      <c r="D36" s="15" t="s">
        <v>2987</v>
      </c>
      <c r="E36" s="15" t="s">
        <v>2988</v>
      </c>
      <c r="F36" s="15" t="s">
        <v>2989</v>
      </c>
      <c r="G36" s="15" t="s">
        <v>2990</v>
      </c>
      <c r="H36" s="15" t="s">
        <v>2991</v>
      </c>
      <c r="I36" s="15" t="s">
        <v>33</v>
      </c>
      <c r="J36" s="15" t="s">
        <v>33</v>
      </c>
      <c r="K36" s="15" t="s">
        <v>33</v>
      </c>
      <c r="L36" s="15" t="s">
        <v>33</v>
      </c>
      <c r="M36" s="15" t="s">
        <v>33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si="15"/>
        <v>0.08333333333</v>
      </c>
      <c r="V36" s="15">
        <f>TEXT(F36-E36,"[mm]")/60</f>
        <v>0.08333333333</v>
      </c>
      <c r="W36" s="15">
        <f>TEXT(H36-G36,"[mm]")/60</f>
        <v>54.81666667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si="16"/>
        <v>18.32777778</v>
      </c>
      <c r="AE36" s="15" t="s">
        <v>34</v>
      </c>
      <c r="AF36" s="15" t="s">
        <v>35</v>
      </c>
      <c r="AG36" s="15" t="s">
        <v>35</v>
      </c>
      <c r="AH36" s="15">
        <f t="shared" si="3"/>
        <v>10</v>
      </c>
      <c r="AI36" s="15"/>
      <c r="AJ36" s="15" t="s">
        <v>61</v>
      </c>
    </row>
    <row r="37" ht="15.75" customHeight="1">
      <c r="A37" s="15" t="s">
        <v>2854</v>
      </c>
      <c r="B37" s="23" t="s">
        <v>2992</v>
      </c>
      <c r="C37" s="15" t="s">
        <v>2993</v>
      </c>
      <c r="D37" s="15" t="s">
        <v>1325</v>
      </c>
      <c r="E37" s="15" t="s">
        <v>33</v>
      </c>
      <c r="F37" s="15" t="s">
        <v>33</v>
      </c>
      <c r="G37" s="15" t="s">
        <v>33</v>
      </c>
      <c r="H37" s="15" t="s">
        <v>33</v>
      </c>
      <c r="I37" s="15" t="s">
        <v>33</v>
      </c>
      <c r="J37" s="15" t="s">
        <v>33</v>
      </c>
      <c r="K37" s="15" t="s">
        <v>33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 t="shared" si="15"/>
        <v>8.5</v>
      </c>
      <c r="V37" s="20" t="s">
        <v>33</v>
      </c>
      <c r="W37" s="20" t="s">
        <v>33</v>
      </c>
      <c r="X37" s="20" t="s">
        <v>33</v>
      </c>
      <c r="Y37" s="20" t="s">
        <v>33</v>
      </c>
      <c r="Z37" s="20" t="s">
        <v>33</v>
      </c>
      <c r="AA37" s="20" t="s">
        <v>33</v>
      </c>
      <c r="AB37" s="20" t="s">
        <v>33</v>
      </c>
      <c r="AC37" s="20" t="s">
        <v>33</v>
      </c>
      <c r="AD37" s="15">
        <f t="shared" si="16"/>
        <v>8.5</v>
      </c>
      <c r="AE37" s="15" t="s">
        <v>34</v>
      </c>
      <c r="AF37" s="15" t="s">
        <v>35</v>
      </c>
      <c r="AG37" s="15" t="s">
        <v>35</v>
      </c>
      <c r="AH37" s="15">
        <f t="shared" si="3"/>
        <v>10</v>
      </c>
      <c r="AI37" s="15"/>
      <c r="AJ37" s="15" t="s">
        <v>61</v>
      </c>
    </row>
    <row r="38" ht="15.75" customHeight="1">
      <c r="A38" s="15" t="s">
        <v>2854</v>
      </c>
      <c r="B38" s="23" t="s">
        <v>2994</v>
      </c>
      <c r="C38" s="15" t="s">
        <v>2995</v>
      </c>
      <c r="D38" s="15" t="s">
        <v>2996</v>
      </c>
      <c r="E38" s="15" t="s">
        <v>2997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15">
        <f t="shared" si="15"/>
        <v>1.2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15">
        <f t="shared" si="16"/>
        <v>1.2</v>
      </c>
      <c r="AE38" s="15" t="s">
        <v>34</v>
      </c>
      <c r="AF38" s="15" t="s">
        <v>35</v>
      </c>
      <c r="AG38" s="15" t="s">
        <v>35</v>
      </c>
      <c r="AH38" s="15">
        <f t="shared" si="3"/>
        <v>10</v>
      </c>
      <c r="AI38" s="15"/>
      <c r="AJ38" s="15" t="s">
        <v>61</v>
      </c>
    </row>
    <row r="39" ht="15.75" customHeight="1">
      <c r="A39" s="15" t="s">
        <v>2854</v>
      </c>
      <c r="B39" s="23" t="s">
        <v>2998</v>
      </c>
      <c r="C39" s="15" t="s">
        <v>2999</v>
      </c>
      <c r="D39" s="15" t="s">
        <v>3000</v>
      </c>
      <c r="E39" s="15" t="s">
        <v>33</v>
      </c>
      <c r="F39" s="15" t="s">
        <v>33</v>
      </c>
      <c r="G39" s="15" t="s">
        <v>33</v>
      </c>
      <c r="H39" s="15" t="s">
        <v>33</v>
      </c>
      <c r="I39" s="15" t="s">
        <v>33</v>
      </c>
      <c r="J39" s="15" t="s">
        <v>33</v>
      </c>
      <c r="K39" s="15" t="s">
        <v>33</v>
      </c>
      <c r="L39" s="15" t="s">
        <v>33</v>
      </c>
      <c r="M39" s="15" t="s">
        <v>33</v>
      </c>
      <c r="N39" s="15" t="s">
        <v>33</v>
      </c>
      <c r="O39" s="15" t="s">
        <v>33</v>
      </c>
      <c r="P39" s="15" t="s">
        <v>33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 t="shared" si="15"/>
        <v>0.08333333333</v>
      </c>
      <c r="V39" s="20" t="s">
        <v>33</v>
      </c>
      <c r="W39" s="20" t="s">
        <v>33</v>
      </c>
      <c r="X39" s="20" t="s">
        <v>33</v>
      </c>
      <c r="Y39" s="20" t="s">
        <v>33</v>
      </c>
      <c r="Z39" s="20" t="s">
        <v>33</v>
      </c>
      <c r="AA39" s="20" t="s">
        <v>33</v>
      </c>
      <c r="AB39" s="20" t="s">
        <v>33</v>
      </c>
      <c r="AC39" s="20" t="s">
        <v>33</v>
      </c>
      <c r="AD39" s="15">
        <f t="shared" si="16"/>
        <v>0.08333333333</v>
      </c>
      <c r="AE39" s="15" t="s">
        <v>34</v>
      </c>
      <c r="AF39" s="15" t="s">
        <v>35</v>
      </c>
      <c r="AG39" s="15" t="s">
        <v>35</v>
      </c>
      <c r="AH39" s="15">
        <f t="shared" si="3"/>
        <v>10</v>
      </c>
      <c r="AI39" s="15"/>
      <c r="AJ39" s="15" t="s">
        <v>61</v>
      </c>
    </row>
    <row r="40" ht="15.75" customHeight="1">
      <c r="A40" s="15" t="s">
        <v>2854</v>
      </c>
      <c r="B40" s="23" t="s">
        <v>3001</v>
      </c>
      <c r="C40" s="15" t="s">
        <v>3002</v>
      </c>
      <c r="D40" s="15" t="s">
        <v>3003</v>
      </c>
      <c r="E40" s="15" t="s">
        <v>33</v>
      </c>
      <c r="F40" s="15" t="s">
        <v>33</v>
      </c>
      <c r="G40" s="15" t="s">
        <v>33</v>
      </c>
      <c r="H40" s="15" t="s">
        <v>33</v>
      </c>
      <c r="I40" s="15" t="s">
        <v>33</v>
      </c>
      <c r="J40" s="15" t="s">
        <v>33</v>
      </c>
      <c r="K40" s="15" t="s">
        <v>33</v>
      </c>
      <c r="L40" s="15" t="s">
        <v>33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15">
        <f t="shared" si="15"/>
        <v>0.1833333333</v>
      </c>
      <c r="V40" s="20" t="s">
        <v>33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15">
        <f t="shared" si="16"/>
        <v>0.1833333333</v>
      </c>
      <c r="AE40" s="15" t="s">
        <v>34</v>
      </c>
      <c r="AF40" s="15" t="s">
        <v>35</v>
      </c>
      <c r="AG40" s="15" t="s">
        <v>35</v>
      </c>
      <c r="AH40" s="15">
        <f t="shared" si="3"/>
        <v>10</v>
      </c>
      <c r="AI40" s="15"/>
      <c r="AJ40" s="15" t="s">
        <v>61</v>
      </c>
    </row>
    <row r="41" ht="15.75" customHeight="1">
      <c r="A41" s="15" t="s">
        <v>2854</v>
      </c>
      <c r="B41" s="23" t="s">
        <v>3004</v>
      </c>
      <c r="C41" s="15" t="s">
        <v>3005</v>
      </c>
      <c r="D41" s="15" t="s">
        <v>3006</v>
      </c>
      <c r="E41" s="15" t="s">
        <v>33</v>
      </c>
      <c r="F41" s="15" t="s">
        <v>33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15">
        <f t="shared" si="15"/>
        <v>0.65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15">
        <f t="shared" si="16"/>
        <v>0.65</v>
      </c>
      <c r="AE41" s="15" t="s">
        <v>34</v>
      </c>
      <c r="AF41" s="15" t="s">
        <v>35</v>
      </c>
      <c r="AG41" s="15" t="s">
        <v>35</v>
      </c>
      <c r="AH41" s="15">
        <f t="shared" si="3"/>
        <v>10</v>
      </c>
      <c r="AI41" s="15"/>
      <c r="AJ41" s="15" t="s">
        <v>61</v>
      </c>
    </row>
    <row r="42" ht="15.75" customHeight="1">
      <c r="A42" s="15" t="s">
        <v>2854</v>
      </c>
      <c r="B42" s="23" t="s">
        <v>3007</v>
      </c>
      <c r="C42" s="15" t="s">
        <v>3008</v>
      </c>
      <c r="D42" s="15" t="s">
        <v>33</v>
      </c>
      <c r="E42" s="15" t="s">
        <v>3009</v>
      </c>
      <c r="F42" s="15" t="s">
        <v>33</v>
      </c>
      <c r="G42" s="15" t="s">
        <v>33</v>
      </c>
      <c r="H42" s="15" t="s">
        <v>33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20" t="s">
        <v>33</v>
      </c>
      <c r="V42" s="20" t="s">
        <v>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20" t="s">
        <v>33</v>
      </c>
      <c r="AE42" s="15" t="s">
        <v>35</v>
      </c>
      <c r="AF42" s="15" t="s">
        <v>35</v>
      </c>
      <c r="AG42" s="15" t="s">
        <v>35</v>
      </c>
      <c r="AH42" s="15">
        <f t="shared" si="3"/>
        <v>-15</v>
      </c>
      <c r="AI42" s="15"/>
      <c r="AJ42" s="15" t="s">
        <v>61</v>
      </c>
    </row>
    <row r="43" ht="15.75" customHeight="1">
      <c r="A43" s="15" t="s">
        <v>2854</v>
      </c>
      <c r="B43" s="23" t="s">
        <v>3010</v>
      </c>
      <c r="C43" s="15" t="s">
        <v>3011</v>
      </c>
      <c r="D43" s="15" t="s">
        <v>3012</v>
      </c>
      <c r="E43" s="15" t="s">
        <v>3013</v>
      </c>
      <c r="F43" s="15" t="s">
        <v>3014</v>
      </c>
      <c r="G43" s="15" t="s">
        <v>33</v>
      </c>
      <c r="H43" s="15" t="s">
        <v>33</v>
      </c>
      <c r="I43" s="15" t="s">
        <v>33</v>
      </c>
      <c r="J43" s="15" t="s">
        <v>33</v>
      </c>
      <c r="K43" s="15" t="s">
        <v>33</v>
      </c>
      <c r="L43" s="15" t="s">
        <v>33</v>
      </c>
      <c r="M43" s="15" t="s">
        <v>33</v>
      </c>
      <c r="N43" s="15" t="s">
        <v>33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  <c r="U43" s="15">
        <f t="shared" ref="U43:U44" si="17">TEXT(D43-C43,"[mm]")/60</f>
        <v>0.5166666667</v>
      </c>
      <c r="V43" s="15">
        <f t="shared" ref="V43:V44" si="18">TEXT(F43-E43,"[mm]")/60</f>
        <v>4.65</v>
      </c>
      <c r="W43" s="20" t="s">
        <v>33</v>
      </c>
      <c r="X43" s="20" t="s">
        <v>33</v>
      </c>
      <c r="Y43" s="20" t="s">
        <v>33</v>
      </c>
      <c r="Z43" s="20" t="s">
        <v>33</v>
      </c>
      <c r="AA43" s="20" t="s">
        <v>33</v>
      </c>
      <c r="AB43" s="20" t="s">
        <v>33</v>
      </c>
      <c r="AC43" s="20" t="s">
        <v>33</v>
      </c>
      <c r="AD43" s="15">
        <f t="shared" ref="AD43:AD44" si="19">AVERAGE(U43:AC43)</f>
        <v>2.583333333</v>
      </c>
      <c r="AE43" s="15" t="s">
        <v>34</v>
      </c>
      <c r="AF43" s="15" t="s">
        <v>35</v>
      </c>
      <c r="AG43" s="15" t="s">
        <v>35</v>
      </c>
      <c r="AH43" s="15">
        <f t="shared" si="3"/>
        <v>10</v>
      </c>
      <c r="AI43" s="15"/>
      <c r="AJ43" s="15" t="s">
        <v>61</v>
      </c>
    </row>
    <row r="44" ht="15.75" customHeight="1">
      <c r="A44" s="15" t="s">
        <v>2854</v>
      </c>
      <c r="B44" s="23" t="s">
        <v>3015</v>
      </c>
      <c r="C44" s="15" t="s">
        <v>3016</v>
      </c>
      <c r="D44" s="15" t="s">
        <v>299</v>
      </c>
      <c r="E44" s="15" t="s">
        <v>3017</v>
      </c>
      <c r="F44" s="15" t="s">
        <v>3018</v>
      </c>
      <c r="G44" s="15" t="s">
        <v>3019</v>
      </c>
      <c r="H44" s="15" t="s">
        <v>3020</v>
      </c>
      <c r="I44" s="15" t="s">
        <v>33</v>
      </c>
      <c r="J44" s="15" t="s">
        <v>33</v>
      </c>
      <c r="K44" s="15" t="s">
        <v>33</v>
      </c>
      <c r="L44" s="15" t="s">
        <v>33</v>
      </c>
      <c r="M44" s="15" t="s">
        <v>33</v>
      </c>
      <c r="N44" s="15" t="s">
        <v>33</v>
      </c>
      <c r="O44" s="15" t="s">
        <v>33</v>
      </c>
      <c r="P44" s="15" t="s">
        <v>33</v>
      </c>
      <c r="Q44" s="15" t="s">
        <v>33</v>
      </c>
      <c r="R44" s="15" t="s">
        <v>33</v>
      </c>
      <c r="S44" s="15" t="s">
        <v>33</v>
      </c>
      <c r="T44" s="15" t="s">
        <v>33</v>
      </c>
      <c r="U44" s="15">
        <f t="shared" si="17"/>
        <v>4.483333333</v>
      </c>
      <c r="V44" s="15">
        <f t="shared" si="18"/>
        <v>246.6166667</v>
      </c>
      <c r="W44" s="15">
        <f>TEXT(H44-G44,"[mm]")/60</f>
        <v>30.26666667</v>
      </c>
      <c r="X44" s="20" t="s">
        <v>33</v>
      </c>
      <c r="Y44" s="20" t="s">
        <v>33</v>
      </c>
      <c r="Z44" s="20" t="s">
        <v>33</v>
      </c>
      <c r="AA44" s="20" t="s">
        <v>33</v>
      </c>
      <c r="AB44" s="20" t="s">
        <v>33</v>
      </c>
      <c r="AC44" s="20" t="s">
        <v>33</v>
      </c>
      <c r="AD44" s="15">
        <f t="shared" si="19"/>
        <v>93.78888889</v>
      </c>
      <c r="AE44" s="15" t="s">
        <v>34</v>
      </c>
      <c r="AF44" s="15" t="s">
        <v>35</v>
      </c>
      <c r="AG44" s="15" t="s">
        <v>35</v>
      </c>
      <c r="AH44" s="15">
        <f t="shared" si="3"/>
        <v>10</v>
      </c>
      <c r="AI44" s="15"/>
      <c r="AJ44" s="15" t="s">
        <v>61</v>
      </c>
    </row>
    <row r="45" ht="15.75" customHeight="1">
      <c r="A45" s="15" t="s">
        <v>2854</v>
      </c>
      <c r="B45" s="23" t="s">
        <v>3021</v>
      </c>
      <c r="C45" s="15" t="s">
        <v>3022</v>
      </c>
      <c r="D45" s="15" t="s">
        <v>33</v>
      </c>
      <c r="E45" s="15" t="s">
        <v>33</v>
      </c>
      <c r="F45" s="15" t="s">
        <v>33</v>
      </c>
      <c r="G45" s="15" t="s">
        <v>33</v>
      </c>
      <c r="H45" s="15" t="s">
        <v>33</v>
      </c>
      <c r="I45" s="15" t="s">
        <v>33</v>
      </c>
      <c r="J45" s="15" t="s">
        <v>33</v>
      </c>
      <c r="K45" s="15" t="s">
        <v>33</v>
      </c>
      <c r="L45" s="15" t="s">
        <v>33</v>
      </c>
      <c r="M45" s="15" t="s">
        <v>33</v>
      </c>
      <c r="N45" s="15" t="s">
        <v>33</v>
      </c>
      <c r="O45" s="15" t="s">
        <v>33</v>
      </c>
      <c r="P45" s="15" t="s">
        <v>33</v>
      </c>
      <c r="Q45" s="15" t="s">
        <v>33</v>
      </c>
      <c r="R45" s="15" t="s">
        <v>33</v>
      </c>
      <c r="S45" s="15" t="s">
        <v>33</v>
      </c>
      <c r="T45" s="15" t="s">
        <v>33</v>
      </c>
      <c r="U45" s="20" t="s">
        <v>33</v>
      </c>
      <c r="V45" s="20" t="s">
        <v>33</v>
      </c>
      <c r="W45" s="20" t="s">
        <v>33</v>
      </c>
      <c r="X45" s="20" t="s">
        <v>33</v>
      </c>
      <c r="Y45" s="20" t="s">
        <v>33</v>
      </c>
      <c r="Z45" s="20" t="s">
        <v>33</v>
      </c>
      <c r="AA45" s="20" t="s">
        <v>33</v>
      </c>
      <c r="AB45" s="20" t="s">
        <v>33</v>
      </c>
      <c r="AC45" s="20" t="s">
        <v>33</v>
      </c>
      <c r="AD45" s="20" t="s">
        <v>33</v>
      </c>
      <c r="AE45" s="15" t="s">
        <v>35</v>
      </c>
      <c r="AF45" s="15" t="s">
        <v>35</v>
      </c>
      <c r="AG45" s="15" t="s">
        <v>35</v>
      </c>
      <c r="AH45" s="15">
        <f t="shared" si="3"/>
        <v>-15</v>
      </c>
      <c r="AI45" s="15"/>
      <c r="AJ45" s="15" t="s">
        <v>61</v>
      </c>
    </row>
    <row r="46" ht="15.75" customHeight="1">
      <c r="A46" s="15" t="s">
        <v>2854</v>
      </c>
      <c r="B46" s="23" t="s">
        <v>3023</v>
      </c>
      <c r="C46" s="15" t="s">
        <v>3024</v>
      </c>
      <c r="D46" s="15" t="s">
        <v>3011</v>
      </c>
      <c r="E46" s="15" t="s">
        <v>3025</v>
      </c>
      <c r="F46" s="15" t="s">
        <v>636</v>
      </c>
      <c r="G46" s="15" t="s">
        <v>33</v>
      </c>
      <c r="H46" s="15" t="s">
        <v>33</v>
      </c>
      <c r="I46" s="15" t="s">
        <v>33</v>
      </c>
      <c r="J46" s="15" t="s">
        <v>33</v>
      </c>
      <c r="K46" s="15" t="s">
        <v>33</v>
      </c>
      <c r="L46" s="15" t="s">
        <v>33</v>
      </c>
      <c r="M46" s="15" t="s">
        <v>33</v>
      </c>
      <c r="N46" s="15" t="s">
        <v>33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  <c r="U46" s="15">
        <f t="shared" ref="U46:U49" si="20">TEXT(D46-C46,"[mm]")/60</f>
        <v>1.533333333</v>
      </c>
      <c r="V46" s="15">
        <f>TEXT(F46-E46,"[mm]")/60</f>
        <v>26.93333333</v>
      </c>
      <c r="W46" s="20" t="s">
        <v>33</v>
      </c>
      <c r="X46" s="20" t="s">
        <v>33</v>
      </c>
      <c r="Y46" s="20" t="s">
        <v>33</v>
      </c>
      <c r="Z46" s="20" t="s">
        <v>33</v>
      </c>
      <c r="AA46" s="20" t="s">
        <v>33</v>
      </c>
      <c r="AB46" s="20" t="s">
        <v>33</v>
      </c>
      <c r="AC46" s="20" t="s">
        <v>33</v>
      </c>
      <c r="AD46" s="15">
        <f t="shared" ref="AD46:AD49" si="21">AVERAGE(U46:AC46)</f>
        <v>14.23333333</v>
      </c>
      <c r="AE46" s="15" t="s">
        <v>34</v>
      </c>
      <c r="AF46" s="15" t="s">
        <v>35</v>
      </c>
      <c r="AG46" s="15" t="s">
        <v>35</v>
      </c>
      <c r="AH46" s="15">
        <f t="shared" si="3"/>
        <v>10</v>
      </c>
      <c r="AI46" s="15"/>
      <c r="AJ46" s="15" t="s">
        <v>61</v>
      </c>
    </row>
    <row r="47" ht="15.75" customHeight="1">
      <c r="A47" s="15" t="s">
        <v>2854</v>
      </c>
      <c r="B47" s="23" t="s">
        <v>3026</v>
      </c>
      <c r="C47" s="15" t="s">
        <v>3027</v>
      </c>
      <c r="D47" s="15" t="s">
        <v>3028</v>
      </c>
      <c r="E47" s="15" t="s">
        <v>33</v>
      </c>
      <c r="F47" s="15" t="s">
        <v>33</v>
      </c>
      <c r="G47" s="15" t="s">
        <v>33</v>
      </c>
      <c r="H47" s="15" t="s">
        <v>33</v>
      </c>
      <c r="I47" s="15" t="s">
        <v>33</v>
      </c>
      <c r="J47" s="15" t="s">
        <v>33</v>
      </c>
      <c r="K47" s="15" t="s">
        <v>33</v>
      </c>
      <c r="L47" s="15" t="s">
        <v>33</v>
      </c>
      <c r="M47" s="15" t="s">
        <v>33</v>
      </c>
      <c r="N47" s="15" t="s">
        <v>33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  <c r="U47" s="15">
        <f t="shared" si="20"/>
        <v>0.2166666667</v>
      </c>
      <c r="V47" s="20" t="s">
        <v>33</v>
      </c>
      <c r="W47" s="20" t="s">
        <v>33</v>
      </c>
      <c r="X47" s="20" t="s">
        <v>33</v>
      </c>
      <c r="Y47" s="20" t="s">
        <v>33</v>
      </c>
      <c r="Z47" s="20" t="s">
        <v>33</v>
      </c>
      <c r="AA47" s="20" t="s">
        <v>33</v>
      </c>
      <c r="AB47" s="20" t="s">
        <v>33</v>
      </c>
      <c r="AC47" s="20" t="s">
        <v>33</v>
      </c>
      <c r="AD47" s="15">
        <f t="shared" si="21"/>
        <v>0.2166666667</v>
      </c>
      <c r="AE47" s="15" t="s">
        <v>34</v>
      </c>
      <c r="AF47" s="15" t="s">
        <v>35</v>
      </c>
      <c r="AG47" s="15" t="s">
        <v>35</v>
      </c>
      <c r="AH47" s="15">
        <f t="shared" si="3"/>
        <v>10</v>
      </c>
      <c r="AI47" s="15"/>
      <c r="AJ47" s="15" t="s">
        <v>61</v>
      </c>
    </row>
    <row r="48" ht="15.75" customHeight="1">
      <c r="A48" s="15" t="s">
        <v>2854</v>
      </c>
      <c r="B48" s="23" t="s">
        <v>3029</v>
      </c>
      <c r="C48" s="15" t="s">
        <v>3030</v>
      </c>
      <c r="D48" s="15" t="s">
        <v>3031</v>
      </c>
      <c r="E48" s="15" t="s">
        <v>33</v>
      </c>
      <c r="F48" s="15" t="s">
        <v>3032</v>
      </c>
      <c r="G48" s="15" t="s">
        <v>33</v>
      </c>
      <c r="H48" s="15" t="s">
        <v>33</v>
      </c>
      <c r="I48" s="15" t="s">
        <v>33</v>
      </c>
      <c r="J48" s="15" t="s">
        <v>33</v>
      </c>
      <c r="K48" s="15" t="s">
        <v>33</v>
      </c>
      <c r="L48" s="15" t="s">
        <v>33</v>
      </c>
      <c r="M48" s="15" t="s">
        <v>33</v>
      </c>
      <c r="N48" s="15" t="s">
        <v>33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  <c r="U48" s="15">
        <f t="shared" si="20"/>
        <v>0.05</v>
      </c>
      <c r="V48" s="20" t="s">
        <v>33</v>
      </c>
      <c r="W48" s="20" t="s">
        <v>33</v>
      </c>
      <c r="X48" s="20" t="s">
        <v>33</v>
      </c>
      <c r="Y48" s="20" t="s">
        <v>33</v>
      </c>
      <c r="Z48" s="20" t="s">
        <v>33</v>
      </c>
      <c r="AA48" s="20" t="s">
        <v>33</v>
      </c>
      <c r="AB48" s="20" t="s">
        <v>33</v>
      </c>
      <c r="AC48" s="20" t="s">
        <v>33</v>
      </c>
      <c r="AD48" s="15">
        <f t="shared" si="21"/>
        <v>0.05</v>
      </c>
      <c r="AE48" s="15" t="s">
        <v>34</v>
      </c>
      <c r="AF48" s="15" t="s">
        <v>35</v>
      </c>
      <c r="AG48" s="15" t="s">
        <v>35</v>
      </c>
      <c r="AH48" s="15">
        <f t="shared" si="3"/>
        <v>10</v>
      </c>
      <c r="AI48" s="15"/>
      <c r="AJ48" s="15" t="s">
        <v>61</v>
      </c>
    </row>
    <row r="49" ht="15.75" customHeight="1">
      <c r="A49" s="15" t="s">
        <v>2854</v>
      </c>
      <c r="B49" s="23" t="s">
        <v>3033</v>
      </c>
      <c r="C49" s="15" t="s">
        <v>3034</v>
      </c>
      <c r="D49" s="15" t="s">
        <v>3035</v>
      </c>
      <c r="E49" s="15" t="s">
        <v>33</v>
      </c>
      <c r="F49" s="15" t="s">
        <v>33</v>
      </c>
      <c r="G49" s="15" t="s">
        <v>33</v>
      </c>
      <c r="H49" s="15" t="s">
        <v>33</v>
      </c>
      <c r="I49" s="15" t="s">
        <v>33</v>
      </c>
      <c r="J49" s="15" t="s">
        <v>33</v>
      </c>
      <c r="K49" s="15" t="s">
        <v>33</v>
      </c>
      <c r="L49" s="15" t="s">
        <v>33</v>
      </c>
      <c r="M49" s="15" t="s">
        <v>33</v>
      </c>
      <c r="N49" s="15" t="s">
        <v>33</v>
      </c>
      <c r="O49" s="15" t="s">
        <v>33</v>
      </c>
      <c r="P49" s="15" t="s">
        <v>33</v>
      </c>
      <c r="Q49" s="15" t="s">
        <v>33</v>
      </c>
      <c r="R49" s="15" t="s">
        <v>33</v>
      </c>
      <c r="S49" s="15" t="s">
        <v>33</v>
      </c>
      <c r="T49" s="15" t="s">
        <v>33</v>
      </c>
      <c r="U49" s="15">
        <f t="shared" si="20"/>
        <v>0.08333333333</v>
      </c>
      <c r="V49" s="20" t="s">
        <v>33</v>
      </c>
      <c r="W49" s="20" t="s">
        <v>33</v>
      </c>
      <c r="X49" s="20" t="s">
        <v>33</v>
      </c>
      <c r="Y49" s="20" t="s">
        <v>33</v>
      </c>
      <c r="Z49" s="20" t="s">
        <v>33</v>
      </c>
      <c r="AA49" s="20" t="s">
        <v>33</v>
      </c>
      <c r="AB49" s="20" t="s">
        <v>33</v>
      </c>
      <c r="AC49" s="20" t="s">
        <v>33</v>
      </c>
      <c r="AD49" s="15">
        <f t="shared" si="21"/>
        <v>0.08333333333</v>
      </c>
      <c r="AE49" s="15" t="s">
        <v>34</v>
      </c>
      <c r="AF49" s="15" t="s">
        <v>35</v>
      </c>
      <c r="AG49" s="15" t="s">
        <v>35</v>
      </c>
      <c r="AH49" s="15">
        <f t="shared" si="3"/>
        <v>10</v>
      </c>
      <c r="AI49" s="15"/>
      <c r="AJ49" s="15" t="s">
        <v>61</v>
      </c>
    </row>
    <row r="50" ht="15.75" customHeight="1">
      <c r="A50" s="15" t="s">
        <v>2854</v>
      </c>
      <c r="B50" s="23" t="s">
        <v>3036</v>
      </c>
      <c r="C50" s="15" t="s">
        <v>3037</v>
      </c>
      <c r="D50" s="15" t="s">
        <v>33</v>
      </c>
      <c r="E50" s="15" t="s">
        <v>33</v>
      </c>
      <c r="F50" s="15" t="s">
        <v>33</v>
      </c>
      <c r="G50" s="15" t="s">
        <v>33</v>
      </c>
      <c r="H50" s="15" t="s">
        <v>33</v>
      </c>
      <c r="I50" s="15" t="s">
        <v>33</v>
      </c>
      <c r="J50" s="15" t="s">
        <v>33</v>
      </c>
      <c r="K50" s="15" t="s">
        <v>33</v>
      </c>
      <c r="L50" s="15" t="s">
        <v>33</v>
      </c>
      <c r="M50" s="15" t="s">
        <v>33</v>
      </c>
      <c r="N50" s="15" t="s">
        <v>33</v>
      </c>
      <c r="O50" s="15" t="s">
        <v>33</v>
      </c>
      <c r="P50" s="15" t="s">
        <v>33</v>
      </c>
      <c r="Q50" s="15" t="s">
        <v>33</v>
      </c>
      <c r="R50" s="15" t="s">
        <v>33</v>
      </c>
      <c r="S50" s="15" t="s">
        <v>33</v>
      </c>
      <c r="T50" s="15" t="s">
        <v>33</v>
      </c>
      <c r="U50" s="20" t="s">
        <v>33</v>
      </c>
      <c r="V50" s="20" t="s">
        <v>33</v>
      </c>
      <c r="W50" s="20" t="s">
        <v>33</v>
      </c>
      <c r="X50" s="20" t="s">
        <v>33</v>
      </c>
      <c r="Y50" s="20" t="s">
        <v>33</v>
      </c>
      <c r="Z50" s="20" t="s">
        <v>33</v>
      </c>
      <c r="AA50" s="20" t="s">
        <v>33</v>
      </c>
      <c r="AB50" s="20" t="s">
        <v>33</v>
      </c>
      <c r="AC50" s="20" t="s">
        <v>33</v>
      </c>
      <c r="AD50" s="20" t="s">
        <v>33</v>
      </c>
      <c r="AE50" s="15" t="s">
        <v>35</v>
      </c>
      <c r="AF50" s="15" t="s">
        <v>35</v>
      </c>
      <c r="AG50" s="15" t="s">
        <v>35</v>
      </c>
      <c r="AH50" s="15">
        <f t="shared" si="3"/>
        <v>-15</v>
      </c>
      <c r="AI50" s="15"/>
      <c r="AJ50" s="15" t="s">
        <v>61</v>
      </c>
    </row>
    <row r="51" ht="15.75" customHeight="1">
      <c r="A51" s="15" t="s">
        <v>2854</v>
      </c>
      <c r="B51" s="23" t="s">
        <v>3038</v>
      </c>
      <c r="C51" s="15" t="s">
        <v>3039</v>
      </c>
      <c r="D51" s="15" t="s">
        <v>3040</v>
      </c>
      <c r="E51" s="15" t="s">
        <v>33</v>
      </c>
      <c r="F51" s="15" t="s">
        <v>3041</v>
      </c>
      <c r="G51" s="15" t="s">
        <v>33</v>
      </c>
      <c r="H51" s="15" t="s">
        <v>33</v>
      </c>
      <c r="I51" s="15" t="s">
        <v>33</v>
      </c>
      <c r="J51" s="15" t="s">
        <v>33</v>
      </c>
      <c r="K51" s="15" t="s">
        <v>33</v>
      </c>
      <c r="L51" s="15" t="s">
        <v>33</v>
      </c>
      <c r="M51" s="15" t="s">
        <v>33</v>
      </c>
      <c r="N51" s="15" t="s">
        <v>33</v>
      </c>
      <c r="O51" s="15" t="s">
        <v>33</v>
      </c>
      <c r="P51" s="15" t="s">
        <v>33</v>
      </c>
      <c r="Q51" s="15" t="s">
        <v>33</v>
      </c>
      <c r="R51" s="15" t="s">
        <v>33</v>
      </c>
      <c r="S51" s="15" t="s">
        <v>33</v>
      </c>
      <c r="T51" s="15" t="s">
        <v>33</v>
      </c>
      <c r="U51" s="15">
        <f t="shared" ref="U51:U59" si="22">TEXT(D51-C51,"[mm]")/60</f>
        <v>0.2333333333</v>
      </c>
      <c r="V51" s="20" t="s">
        <v>33</v>
      </c>
      <c r="W51" s="20" t="s">
        <v>33</v>
      </c>
      <c r="X51" s="20" t="s">
        <v>33</v>
      </c>
      <c r="Y51" s="20" t="s">
        <v>33</v>
      </c>
      <c r="Z51" s="20" t="s">
        <v>33</v>
      </c>
      <c r="AA51" s="20" t="s">
        <v>33</v>
      </c>
      <c r="AB51" s="20" t="s">
        <v>33</v>
      </c>
      <c r="AC51" s="20" t="s">
        <v>33</v>
      </c>
      <c r="AD51" s="15">
        <f t="shared" ref="AD51:AD59" si="23">AVERAGE(U51:AC51)</f>
        <v>0.2333333333</v>
      </c>
      <c r="AE51" s="15" t="s">
        <v>34</v>
      </c>
      <c r="AF51" s="15" t="s">
        <v>35</v>
      </c>
      <c r="AG51" s="15" t="s">
        <v>35</v>
      </c>
      <c r="AH51" s="15">
        <f t="shared" si="3"/>
        <v>10</v>
      </c>
      <c r="AI51" s="15"/>
      <c r="AJ51" s="15" t="s">
        <v>61</v>
      </c>
    </row>
    <row r="52" ht="15.75" customHeight="1">
      <c r="A52" s="15" t="s">
        <v>2854</v>
      </c>
      <c r="B52" s="23" t="s">
        <v>3042</v>
      </c>
      <c r="C52" s="15" t="s">
        <v>3043</v>
      </c>
      <c r="D52" s="15" t="s">
        <v>3044</v>
      </c>
      <c r="E52" s="15" t="s">
        <v>3045</v>
      </c>
      <c r="F52" s="15" t="s">
        <v>3046</v>
      </c>
      <c r="G52" s="15" t="s">
        <v>3047</v>
      </c>
      <c r="H52" s="15" t="s">
        <v>3048</v>
      </c>
      <c r="I52" s="15" t="s">
        <v>3049</v>
      </c>
      <c r="J52" s="15" t="s">
        <v>3050</v>
      </c>
      <c r="K52" s="15" t="s">
        <v>2824</v>
      </c>
      <c r="L52" s="15" t="s">
        <v>3051</v>
      </c>
      <c r="M52" s="15" t="s">
        <v>3052</v>
      </c>
      <c r="N52" s="15" t="s">
        <v>33</v>
      </c>
      <c r="O52" s="15" t="s">
        <v>3053</v>
      </c>
      <c r="P52" s="15" t="s">
        <v>33</v>
      </c>
      <c r="Q52" s="15" t="s">
        <v>3054</v>
      </c>
      <c r="R52" s="15" t="s">
        <v>33</v>
      </c>
      <c r="S52" s="15" t="s">
        <v>3055</v>
      </c>
      <c r="T52" s="15" t="s">
        <v>33</v>
      </c>
      <c r="U52" s="15">
        <f t="shared" si="22"/>
        <v>18.01666667</v>
      </c>
      <c r="V52" s="15">
        <f t="shared" ref="V52:V54" si="24">TEXT(F52-E52,"[mm]")/60</f>
        <v>411.2666667</v>
      </c>
      <c r="W52" s="15">
        <f t="shared" ref="W52:W53" si="25">TEXT(H52-G52,"[mm]")/60</f>
        <v>411.7166667</v>
      </c>
      <c r="X52" s="15">
        <f t="shared" ref="X52:X53" si="26">TEXT(J52-I52,"[mm]")/60</f>
        <v>412.3833333</v>
      </c>
      <c r="Y52" s="15">
        <f>TEXT(L52-K52,"[mm]")/60</f>
        <v>378.9833333</v>
      </c>
      <c r="Z52" s="20" t="s">
        <v>33</v>
      </c>
      <c r="AA52" s="20" t="s">
        <v>33</v>
      </c>
      <c r="AB52" s="20" t="s">
        <v>33</v>
      </c>
      <c r="AC52" s="20" t="s">
        <v>33</v>
      </c>
      <c r="AD52" s="15">
        <f t="shared" si="23"/>
        <v>326.4733333</v>
      </c>
      <c r="AE52" s="15" t="s">
        <v>34</v>
      </c>
      <c r="AF52" s="15" t="s">
        <v>35</v>
      </c>
      <c r="AG52" s="15" t="s">
        <v>35</v>
      </c>
      <c r="AH52" s="15">
        <f t="shared" si="3"/>
        <v>10</v>
      </c>
      <c r="AI52" s="15"/>
      <c r="AJ52" s="15" t="s">
        <v>61</v>
      </c>
    </row>
    <row r="53" ht="15.75" customHeight="1">
      <c r="A53" s="15" t="s">
        <v>2854</v>
      </c>
      <c r="B53" s="23" t="s">
        <v>3056</v>
      </c>
      <c r="C53" s="15" t="s">
        <v>3057</v>
      </c>
      <c r="D53" s="15" t="s">
        <v>3058</v>
      </c>
      <c r="E53" s="15" t="s">
        <v>722</v>
      </c>
      <c r="F53" s="15" t="s">
        <v>3059</v>
      </c>
      <c r="G53" s="15" t="s">
        <v>3060</v>
      </c>
      <c r="H53" s="15" t="s">
        <v>3061</v>
      </c>
      <c r="I53" s="15" t="s">
        <v>3062</v>
      </c>
      <c r="J53" s="15" t="s">
        <v>3063</v>
      </c>
      <c r="K53" s="15" t="s">
        <v>33</v>
      </c>
      <c r="L53" s="15" t="s">
        <v>33</v>
      </c>
      <c r="M53" s="15" t="s">
        <v>33</v>
      </c>
      <c r="N53" s="15" t="s">
        <v>33</v>
      </c>
      <c r="O53" s="15" t="s">
        <v>33</v>
      </c>
      <c r="P53" s="15" t="s">
        <v>33</v>
      </c>
      <c r="Q53" s="15" t="s">
        <v>33</v>
      </c>
      <c r="R53" s="15" t="s">
        <v>33</v>
      </c>
      <c r="S53" s="15" t="s">
        <v>33</v>
      </c>
      <c r="T53" s="15" t="s">
        <v>33</v>
      </c>
      <c r="U53" s="15">
        <f t="shared" si="22"/>
        <v>0.05</v>
      </c>
      <c r="V53" s="15">
        <f t="shared" si="24"/>
        <v>20.95</v>
      </c>
      <c r="W53" s="15">
        <f t="shared" si="25"/>
        <v>0.06666666667</v>
      </c>
      <c r="X53" s="15">
        <f t="shared" si="26"/>
        <v>26.9</v>
      </c>
      <c r="Y53" s="20" t="s">
        <v>33</v>
      </c>
      <c r="Z53" s="20" t="s">
        <v>33</v>
      </c>
      <c r="AA53" s="20" t="s">
        <v>33</v>
      </c>
      <c r="AB53" s="20" t="s">
        <v>33</v>
      </c>
      <c r="AC53" s="20" t="s">
        <v>33</v>
      </c>
      <c r="AD53" s="15">
        <f t="shared" si="23"/>
        <v>11.99166667</v>
      </c>
      <c r="AE53" s="15" t="s">
        <v>34</v>
      </c>
      <c r="AF53" s="15" t="s">
        <v>35</v>
      </c>
      <c r="AG53" s="15" t="s">
        <v>35</v>
      </c>
      <c r="AH53" s="15">
        <f t="shared" si="3"/>
        <v>10</v>
      </c>
      <c r="AI53" s="15"/>
      <c r="AJ53" s="15" t="s">
        <v>61</v>
      </c>
    </row>
    <row r="54" ht="15.75" customHeight="1">
      <c r="A54" s="15" t="s">
        <v>2854</v>
      </c>
      <c r="B54" s="23" t="s">
        <v>3064</v>
      </c>
      <c r="C54" s="15" t="s">
        <v>3065</v>
      </c>
      <c r="D54" s="15" t="s">
        <v>3066</v>
      </c>
      <c r="E54" s="15" t="s">
        <v>3067</v>
      </c>
      <c r="F54" s="15" t="s">
        <v>3068</v>
      </c>
      <c r="G54" s="15" t="s">
        <v>33</v>
      </c>
      <c r="H54" s="15" t="s">
        <v>33</v>
      </c>
      <c r="I54" s="15" t="s">
        <v>33</v>
      </c>
      <c r="J54" s="15" t="s">
        <v>33</v>
      </c>
      <c r="K54" s="15" t="s">
        <v>33</v>
      </c>
      <c r="L54" s="15" t="s">
        <v>33</v>
      </c>
      <c r="M54" s="15" t="s">
        <v>33</v>
      </c>
      <c r="N54" s="15" t="s">
        <v>33</v>
      </c>
      <c r="O54" s="15" t="s">
        <v>33</v>
      </c>
      <c r="P54" s="15" t="s">
        <v>33</v>
      </c>
      <c r="Q54" s="15" t="s">
        <v>33</v>
      </c>
      <c r="R54" s="15" t="s">
        <v>33</v>
      </c>
      <c r="S54" s="15" t="s">
        <v>33</v>
      </c>
      <c r="T54" s="15" t="s">
        <v>33</v>
      </c>
      <c r="U54" s="15">
        <f t="shared" si="22"/>
        <v>0.3166666667</v>
      </c>
      <c r="V54" s="15">
        <f t="shared" si="24"/>
        <v>21.61666667</v>
      </c>
      <c r="W54" s="20" t="s">
        <v>33</v>
      </c>
      <c r="X54" s="20" t="s">
        <v>33</v>
      </c>
      <c r="Y54" s="20" t="s">
        <v>33</v>
      </c>
      <c r="Z54" s="20" t="s">
        <v>33</v>
      </c>
      <c r="AA54" s="20" t="s">
        <v>33</v>
      </c>
      <c r="AB54" s="20" t="s">
        <v>33</v>
      </c>
      <c r="AC54" s="20" t="s">
        <v>33</v>
      </c>
      <c r="AD54" s="15">
        <f t="shared" si="23"/>
        <v>10.96666667</v>
      </c>
      <c r="AE54" s="15" t="s">
        <v>34</v>
      </c>
      <c r="AF54" s="15" t="s">
        <v>35</v>
      </c>
      <c r="AG54" s="15" t="s">
        <v>35</v>
      </c>
      <c r="AH54" s="15">
        <f t="shared" si="3"/>
        <v>10</v>
      </c>
      <c r="AI54" s="15"/>
      <c r="AJ54" s="15" t="s">
        <v>61</v>
      </c>
    </row>
    <row r="55" ht="15.75" customHeight="1">
      <c r="A55" s="15" t="s">
        <v>2854</v>
      </c>
      <c r="B55" s="23" t="s">
        <v>3069</v>
      </c>
      <c r="C55" s="15" t="s">
        <v>3070</v>
      </c>
      <c r="D55" s="15" t="s">
        <v>3071</v>
      </c>
      <c r="E55" s="15" t="s">
        <v>33</v>
      </c>
      <c r="F55" s="15" t="s">
        <v>3072</v>
      </c>
      <c r="G55" s="15" t="s">
        <v>33</v>
      </c>
      <c r="H55" s="15" t="s">
        <v>33</v>
      </c>
      <c r="I55" s="15" t="s">
        <v>33</v>
      </c>
      <c r="J55" s="15" t="s">
        <v>33</v>
      </c>
      <c r="K55" s="15" t="s">
        <v>33</v>
      </c>
      <c r="L55" s="15" t="s">
        <v>33</v>
      </c>
      <c r="M55" s="15" t="s">
        <v>33</v>
      </c>
      <c r="N55" s="15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  <c r="U55" s="15">
        <f t="shared" si="22"/>
        <v>0.15</v>
      </c>
      <c r="V55" s="20" t="s">
        <v>33</v>
      </c>
      <c r="W55" s="20" t="s">
        <v>33</v>
      </c>
      <c r="X55" s="20" t="s">
        <v>33</v>
      </c>
      <c r="Y55" s="20" t="s">
        <v>33</v>
      </c>
      <c r="Z55" s="20" t="s">
        <v>33</v>
      </c>
      <c r="AA55" s="20" t="s">
        <v>33</v>
      </c>
      <c r="AB55" s="20" t="s">
        <v>33</v>
      </c>
      <c r="AC55" s="20" t="s">
        <v>33</v>
      </c>
      <c r="AD55" s="15">
        <f t="shared" si="23"/>
        <v>0.15</v>
      </c>
      <c r="AE55" s="15" t="s">
        <v>34</v>
      </c>
      <c r="AF55" s="15" t="s">
        <v>35</v>
      </c>
      <c r="AG55" s="15" t="s">
        <v>35</v>
      </c>
      <c r="AH55" s="15">
        <f t="shared" si="3"/>
        <v>10</v>
      </c>
      <c r="AI55" s="15"/>
      <c r="AJ55" s="15" t="s">
        <v>61</v>
      </c>
    </row>
    <row r="56" ht="15.75" customHeight="1">
      <c r="A56" s="15" t="s">
        <v>2854</v>
      </c>
      <c r="B56" s="23" t="s">
        <v>3073</v>
      </c>
      <c r="C56" s="15" t="s">
        <v>1049</v>
      </c>
      <c r="D56" s="15" t="s">
        <v>3074</v>
      </c>
      <c r="E56" s="15" t="s">
        <v>3075</v>
      </c>
      <c r="F56" s="15" t="s">
        <v>3076</v>
      </c>
      <c r="G56" s="15" t="s">
        <v>1047</v>
      </c>
      <c r="H56" s="15" t="s">
        <v>1379</v>
      </c>
      <c r="I56" s="15" t="s">
        <v>3077</v>
      </c>
      <c r="J56" s="15" t="s">
        <v>3078</v>
      </c>
      <c r="K56" s="15" t="s">
        <v>3079</v>
      </c>
      <c r="L56" s="15" t="s">
        <v>3080</v>
      </c>
      <c r="M56" s="15" t="s">
        <v>3081</v>
      </c>
      <c r="N56" s="15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  <c r="U56" s="15">
        <f t="shared" si="22"/>
        <v>0.1666666667</v>
      </c>
      <c r="V56" s="15">
        <f>TEXT(F56-E56,"[mm]")/60</f>
        <v>17.53333333</v>
      </c>
      <c r="W56" s="15">
        <f>TEXT(H56-G56,"[mm]")/60</f>
        <v>39.83333333</v>
      </c>
      <c r="X56" s="15">
        <f>TEXT(J56-I56,"[mm]")/60</f>
        <v>93.36666667</v>
      </c>
      <c r="Y56" s="15">
        <f>TEXT(L56-K56,"[mm]")/60</f>
        <v>3.716666667</v>
      </c>
      <c r="Z56" s="20" t="s">
        <v>33</v>
      </c>
      <c r="AA56" s="20" t="s">
        <v>33</v>
      </c>
      <c r="AB56" s="20" t="s">
        <v>33</v>
      </c>
      <c r="AC56" s="20" t="s">
        <v>33</v>
      </c>
      <c r="AD56" s="15">
        <f t="shared" si="23"/>
        <v>30.92333333</v>
      </c>
      <c r="AE56" s="15" t="s">
        <v>34</v>
      </c>
      <c r="AF56" s="15" t="s">
        <v>35</v>
      </c>
      <c r="AG56" s="15" t="s">
        <v>35</v>
      </c>
      <c r="AH56" s="15">
        <f t="shared" si="3"/>
        <v>10</v>
      </c>
      <c r="AI56" s="15"/>
      <c r="AJ56" s="15" t="s">
        <v>61</v>
      </c>
    </row>
    <row r="57" ht="15.75" customHeight="1">
      <c r="A57" s="15" t="s">
        <v>2854</v>
      </c>
      <c r="B57" s="23" t="s">
        <v>3082</v>
      </c>
      <c r="C57" s="15" t="s">
        <v>340</v>
      </c>
      <c r="D57" s="15" t="s">
        <v>3083</v>
      </c>
      <c r="E57" s="15" t="s">
        <v>3084</v>
      </c>
      <c r="F57" s="15" t="s">
        <v>33</v>
      </c>
      <c r="G57" s="15" t="s">
        <v>33</v>
      </c>
      <c r="H57" s="15" t="s">
        <v>33</v>
      </c>
      <c r="I57" s="15" t="s">
        <v>33</v>
      </c>
      <c r="J57" s="15" t="s">
        <v>33</v>
      </c>
      <c r="K57" s="15" t="s">
        <v>33</v>
      </c>
      <c r="L57" s="15" t="s">
        <v>33</v>
      </c>
      <c r="M57" s="15" t="s">
        <v>33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  <c r="U57" s="15">
        <f t="shared" si="22"/>
        <v>0.6333333333</v>
      </c>
      <c r="V57" s="20" t="s">
        <v>33</v>
      </c>
      <c r="W57" s="20" t="s">
        <v>33</v>
      </c>
      <c r="X57" s="20" t="s">
        <v>33</v>
      </c>
      <c r="Y57" s="20" t="s">
        <v>33</v>
      </c>
      <c r="Z57" s="20" t="s">
        <v>33</v>
      </c>
      <c r="AA57" s="20" t="s">
        <v>33</v>
      </c>
      <c r="AB57" s="20" t="s">
        <v>33</v>
      </c>
      <c r="AC57" s="20" t="s">
        <v>33</v>
      </c>
      <c r="AD57" s="15">
        <f t="shared" si="23"/>
        <v>0.6333333333</v>
      </c>
      <c r="AE57" s="15" t="s">
        <v>34</v>
      </c>
      <c r="AF57" s="15" t="s">
        <v>35</v>
      </c>
      <c r="AG57" s="15" t="s">
        <v>35</v>
      </c>
      <c r="AH57" s="15">
        <f t="shared" si="3"/>
        <v>10</v>
      </c>
      <c r="AI57" s="15"/>
      <c r="AJ57" s="15" t="s">
        <v>61</v>
      </c>
    </row>
    <row r="58" ht="15.75" customHeight="1">
      <c r="A58" s="15" t="s">
        <v>2854</v>
      </c>
      <c r="B58" s="23" t="s">
        <v>3085</v>
      </c>
      <c r="C58" s="15" t="s">
        <v>3086</v>
      </c>
      <c r="D58" s="15" t="s">
        <v>3087</v>
      </c>
      <c r="E58" s="15" t="s">
        <v>3088</v>
      </c>
      <c r="F58" s="15" t="s">
        <v>33</v>
      </c>
      <c r="G58" s="15" t="s">
        <v>33</v>
      </c>
      <c r="H58" s="15" t="s">
        <v>33</v>
      </c>
      <c r="I58" s="15" t="s">
        <v>33</v>
      </c>
      <c r="J58" s="15" t="s">
        <v>33</v>
      </c>
      <c r="K58" s="15" t="s">
        <v>33</v>
      </c>
      <c r="L58" s="15" t="s">
        <v>33</v>
      </c>
      <c r="M58" s="15" t="s">
        <v>33</v>
      </c>
      <c r="N58" s="15" t="s">
        <v>33</v>
      </c>
      <c r="O58" s="15" t="s">
        <v>33</v>
      </c>
      <c r="P58" s="15" t="s">
        <v>33</v>
      </c>
      <c r="Q58" s="15" t="s">
        <v>33</v>
      </c>
      <c r="R58" s="15" t="s">
        <v>33</v>
      </c>
      <c r="S58" s="15" t="s">
        <v>33</v>
      </c>
      <c r="T58" s="15" t="s">
        <v>33</v>
      </c>
      <c r="U58" s="15">
        <f t="shared" si="22"/>
        <v>0.05</v>
      </c>
      <c r="V58" s="20" t="s">
        <v>33</v>
      </c>
      <c r="W58" s="20" t="s">
        <v>33</v>
      </c>
      <c r="X58" s="20" t="s">
        <v>33</v>
      </c>
      <c r="Y58" s="20" t="s">
        <v>33</v>
      </c>
      <c r="Z58" s="20" t="s">
        <v>33</v>
      </c>
      <c r="AA58" s="20" t="s">
        <v>33</v>
      </c>
      <c r="AB58" s="20" t="s">
        <v>33</v>
      </c>
      <c r="AC58" s="20" t="s">
        <v>33</v>
      </c>
      <c r="AD58" s="15">
        <f t="shared" si="23"/>
        <v>0.05</v>
      </c>
      <c r="AE58" s="15" t="s">
        <v>34</v>
      </c>
      <c r="AF58" s="15" t="s">
        <v>35</v>
      </c>
      <c r="AG58" s="15" t="s">
        <v>35</v>
      </c>
      <c r="AH58" s="15">
        <f t="shared" si="3"/>
        <v>10</v>
      </c>
      <c r="AI58" s="15"/>
      <c r="AJ58" s="15" t="s">
        <v>61</v>
      </c>
    </row>
    <row r="59" ht="15.75" customHeight="1">
      <c r="A59" s="15" t="s">
        <v>2854</v>
      </c>
      <c r="B59" s="23" t="s">
        <v>3089</v>
      </c>
      <c r="C59" s="15" t="s">
        <v>3090</v>
      </c>
      <c r="D59" s="15" t="s">
        <v>3091</v>
      </c>
      <c r="E59" s="15" t="s">
        <v>33</v>
      </c>
      <c r="F59" s="15" t="s">
        <v>3092</v>
      </c>
      <c r="G59" s="15" t="s">
        <v>33</v>
      </c>
      <c r="H59" s="15" t="s">
        <v>33</v>
      </c>
      <c r="I59" s="15" t="s">
        <v>33</v>
      </c>
      <c r="J59" s="15" t="s">
        <v>33</v>
      </c>
      <c r="K59" s="15" t="s">
        <v>33</v>
      </c>
      <c r="L59" s="15" t="s">
        <v>33</v>
      </c>
      <c r="M59" s="15" t="s">
        <v>33</v>
      </c>
      <c r="N59" s="15" t="s">
        <v>33</v>
      </c>
      <c r="O59" s="15" t="s">
        <v>33</v>
      </c>
      <c r="P59" s="15" t="s">
        <v>33</v>
      </c>
      <c r="Q59" s="15" t="s">
        <v>33</v>
      </c>
      <c r="R59" s="15" t="s">
        <v>33</v>
      </c>
      <c r="S59" s="15" t="s">
        <v>33</v>
      </c>
      <c r="T59" s="15" t="s">
        <v>33</v>
      </c>
      <c r="U59" s="15">
        <f t="shared" si="22"/>
        <v>0.1166666667</v>
      </c>
      <c r="V59" s="20" t="s">
        <v>33</v>
      </c>
      <c r="W59" s="20" t="s">
        <v>33</v>
      </c>
      <c r="X59" s="20" t="s">
        <v>33</v>
      </c>
      <c r="Y59" s="20" t="s">
        <v>33</v>
      </c>
      <c r="Z59" s="20" t="s">
        <v>33</v>
      </c>
      <c r="AA59" s="20" t="s">
        <v>33</v>
      </c>
      <c r="AB59" s="20" t="s">
        <v>33</v>
      </c>
      <c r="AC59" s="20" t="s">
        <v>33</v>
      </c>
      <c r="AD59" s="15">
        <f t="shared" si="23"/>
        <v>0.1166666667</v>
      </c>
      <c r="AE59" s="15" t="s">
        <v>34</v>
      </c>
      <c r="AF59" s="15" t="s">
        <v>35</v>
      </c>
      <c r="AG59" s="15" t="s">
        <v>35</v>
      </c>
      <c r="AH59" s="15">
        <f t="shared" si="3"/>
        <v>10</v>
      </c>
      <c r="AI59" s="15"/>
      <c r="AJ59" s="15" t="s">
        <v>61</v>
      </c>
    </row>
    <row r="60" ht="15.75" customHeight="1">
      <c r="A60" s="15" t="s">
        <v>2854</v>
      </c>
      <c r="B60" s="23" t="s">
        <v>3093</v>
      </c>
      <c r="C60" s="15" t="s">
        <v>3094</v>
      </c>
      <c r="D60" s="15" t="s">
        <v>33</v>
      </c>
      <c r="E60" s="15" t="s">
        <v>33</v>
      </c>
      <c r="F60" s="15" t="s">
        <v>33</v>
      </c>
      <c r="G60" s="15" t="s">
        <v>33</v>
      </c>
      <c r="H60" s="15" t="s">
        <v>33</v>
      </c>
      <c r="I60" s="15" t="s">
        <v>33</v>
      </c>
      <c r="J60" s="15" t="s">
        <v>33</v>
      </c>
      <c r="K60" s="15" t="s">
        <v>33</v>
      </c>
      <c r="L60" s="15" t="s">
        <v>33</v>
      </c>
      <c r="M60" s="15" t="s">
        <v>33</v>
      </c>
      <c r="N60" s="15" t="s">
        <v>33</v>
      </c>
      <c r="O60" s="15" t="s">
        <v>33</v>
      </c>
      <c r="P60" s="15" t="s">
        <v>33</v>
      </c>
      <c r="Q60" s="15" t="s">
        <v>33</v>
      </c>
      <c r="R60" s="15" t="s">
        <v>33</v>
      </c>
      <c r="S60" s="15" t="s">
        <v>33</v>
      </c>
      <c r="T60" s="15" t="s">
        <v>33</v>
      </c>
      <c r="U60" s="20" t="s">
        <v>33</v>
      </c>
      <c r="V60" s="20" t="s">
        <v>33</v>
      </c>
      <c r="W60" s="20" t="s">
        <v>33</v>
      </c>
      <c r="X60" s="20" t="s">
        <v>33</v>
      </c>
      <c r="Y60" s="20" t="s">
        <v>33</v>
      </c>
      <c r="Z60" s="20" t="s">
        <v>33</v>
      </c>
      <c r="AA60" s="20" t="s">
        <v>33</v>
      </c>
      <c r="AB60" s="20" t="s">
        <v>33</v>
      </c>
      <c r="AC60" s="20" t="s">
        <v>33</v>
      </c>
      <c r="AD60" s="20" t="s">
        <v>33</v>
      </c>
      <c r="AE60" s="15" t="s">
        <v>35</v>
      </c>
      <c r="AF60" s="15" t="s">
        <v>35</v>
      </c>
      <c r="AG60" s="15" t="s">
        <v>35</v>
      </c>
      <c r="AH60" s="15">
        <f t="shared" si="3"/>
        <v>-15</v>
      </c>
      <c r="AI60" s="15"/>
      <c r="AJ60" s="15" t="s">
        <v>61</v>
      </c>
    </row>
    <row r="61" ht="15.75" customHeight="1">
      <c r="A61" s="15" t="s">
        <v>2854</v>
      </c>
      <c r="B61" s="23" t="s">
        <v>3095</v>
      </c>
      <c r="C61" s="15" t="s">
        <v>3096</v>
      </c>
      <c r="D61" s="15" t="s">
        <v>3097</v>
      </c>
      <c r="E61" s="15" t="s">
        <v>3098</v>
      </c>
      <c r="F61" s="15" t="s">
        <v>3099</v>
      </c>
      <c r="G61" s="15" t="s">
        <v>3100</v>
      </c>
      <c r="H61" s="15" t="s">
        <v>33</v>
      </c>
      <c r="I61" s="15" t="s">
        <v>33</v>
      </c>
      <c r="J61" s="15" t="s">
        <v>33</v>
      </c>
      <c r="K61" s="15" t="s">
        <v>33</v>
      </c>
      <c r="L61" s="15" t="s">
        <v>33</v>
      </c>
      <c r="M61" s="15" t="s">
        <v>33</v>
      </c>
      <c r="N61" s="15" t="s">
        <v>33</v>
      </c>
      <c r="O61" s="15" t="s">
        <v>33</v>
      </c>
      <c r="P61" s="15" t="s">
        <v>33</v>
      </c>
      <c r="Q61" s="15" t="s">
        <v>33</v>
      </c>
      <c r="R61" s="15" t="s">
        <v>33</v>
      </c>
      <c r="S61" s="15" t="s">
        <v>33</v>
      </c>
      <c r="T61" s="15" t="s">
        <v>33</v>
      </c>
      <c r="U61" s="15">
        <f>TEXT(D61-C61,"[mm]")/60</f>
        <v>0.7333333333</v>
      </c>
      <c r="V61" s="15">
        <f>TEXT(F61-E61,"[mm]")/60</f>
        <v>24.53333333</v>
      </c>
      <c r="W61" s="20" t="s">
        <v>33</v>
      </c>
      <c r="X61" s="20" t="s">
        <v>33</v>
      </c>
      <c r="Y61" s="20" t="s">
        <v>33</v>
      </c>
      <c r="Z61" s="20" t="s">
        <v>33</v>
      </c>
      <c r="AA61" s="20" t="s">
        <v>33</v>
      </c>
      <c r="AB61" s="20" t="s">
        <v>33</v>
      </c>
      <c r="AC61" s="20" t="s">
        <v>33</v>
      </c>
      <c r="AD61" s="15">
        <f>AVERAGE(U61:AC61)</f>
        <v>12.63333333</v>
      </c>
      <c r="AE61" s="15" t="s">
        <v>34</v>
      </c>
      <c r="AF61" s="15" t="s">
        <v>35</v>
      </c>
      <c r="AG61" s="15" t="s">
        <v>35</v>
      </c>
      <c r="AH61" s="15">
        <f t="shared" si="3"/>
        <v>10</v>
      </c>
      <c r="AI61" s="15"/>
      <c r="AJ61" s="15" t="s">
        <v>61</v>
      </c>
    </row>
    <row r="62" ht="15.75" customHeight="1">
      <c r="A62" s="15" t="s">
        <v>2854</v>
      </c>
      <c r="B62" s="23" t="s">
        <v>3101</v>
      </c>
      <c r="C62" s="15" t="s">
        <v>3102</v>
      </c>
      <c r="D62" s="15" t="s">
        <v>33</v>
      </c>
      <c r="E62" s="15" t="s">
        <v>33</v>
      </c>
      <c r="F62" s="15" t="s">
        <v>33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  <c r="L62" s="15" t="s">
        <v>33</v>
      </c>
      <c r="M62" s="15" t="s">
        <v>33</v>
      </c>
      <c r="N62" s="15" t="s">
        <v>33</v>
      </c>
      <c r="O62" s="15" t="s">
        <v>33</v>
      </c>
      <c r="P62" s="15" t="s">
        <v>33</v>
      </c>
      <c r="Q62" s="15" t="s">
        <v>33</v>
      </c>
      <c r="R62" s="15" t="s">
        <v>33</v>
      </c>
      <c r="S62" s="15" t="s">
        <v>33</v>
      </c>
      <c r="T62" s="15" t="s">
        <v>33</v>
      </c>
      <c r="U62" s="20" t="s">
        <v>33</v>
      </c>
      <c r="V62" s="20" t="s">
        <v>33</v>
      </c>
      <c r="W62" s="20" t="s">
        <v>33</v>
      </c>
      <c r="X62" s="20" t="s">
        <v>33</v>
      </c>
      <c r="Y62" s="20" t="s">
        <v>33</v>
      </c>
      <c r="Z62" s="20" t="s">
        <v>33</v>
      </c>
      <c r="AA62" s="20" t="s">
        <v>33</v>
      </c>
      <c r="AB62" s="20" t="s">
        <v>33</v>
      </c>
      <c r="AC62" s="20" t="s">
        <v>33</v>
      </c>
      <c r="AD62" s="20" t="s">
        <v>33</v>
      </c>
      <c r="AE62" s="15" t="s">
        <v>35</v>
      </c>
      <c r="AF62" s="15" t="s">
        <v>35</v>
      </c>
      <c r="AG62" s="15" t="s">
        <v>35</v>
      </c>
      <c r="AH62" s="15">
        <f t="shared" si="3"/>
        <v>-15</v>
      </c>
      <c r="AI62" s="15"/>
      <c r="AJ62" s="15" t="s">
        <v>61</v>
      </c>
    </row>
    <row r="63" ht="15.75" customHeight="1">
      <c r="A63" s="15" t="s">
        <v>2854</v>
      </c>
      <c r="B63" s="23" t="s">
        <v>3103</v>
      </c>
      <c r="C63" s="15" t="s">
        <v>3104</v>
      </c>
      <c r="D63" s="15" t="s">
        <v>1708</v>
      </c>
      <c r="E63" s="15" t="s">
        <v>3105</v>
      </c>
      <c r="F63" s="15" t="s">
        <v>3106</v>
      </c>
      <c r="G63" s="15" t="s">
        <v>3107</v>
      </c>
      <c r="H63" s="15" t="s">
        <v>33</v>
      </c>
      <c r="I63" s="15" t="s">
        <v>33</v>
      </c>
      <c r="J63" s="15" t="s">
        <v>33</v>
      </c>
      <c r="K63" s="15" t="s">
        <v>33</v>
      </c>
      <c r="L63" s="15" t="s">
        <v>33</v>
      </c>
      <c r="M63" s="15" t="s">
        <v>33</v>
      </c>
      <c r="N63" s="15" t="s">
        <v>33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  <c r="U63" s="15">
        <f t="shared" ref="U63:U67" si="27">TEXT(D63-C63,"[mm]")/60</f>
        <v>0.25</v>
      </c>
      <c r="V63" s="15">
        <f>TEXT(F63-E63,"[mm]")/60</f>
        <v>1.466666667</v>
      </c>
      <c r="W63" s="20" t="s">
        <v>33</v>
      </c>
      <c r="X63" s="20" t="s">
        <v>33</v>
      </c>
      <c r="Y63" s="20" t="s">
        <v>33</v>
      </c>
      <c r="Z63" s="20" t="s">
        <v>33</v>
      </c>
      <c r="AA63" s="20" t="s">
        <v>33</v>
      </c>
      <c r="AB63" s="20" t="s">
        <v>33</v>
      </c>
      <c r="AC63" s="20" t="s">
        <v>33</v>
      </c>
      <c r="AD63" s="15">
        <f t="shared" ref="AD63:AD67" si="28">AVERAGE(U63:AC63)</f>
        <v>0.8583333333</v>
      </c>
      <c r="AE63" s="15" t="s">
        <v>34</v>
      </c>
      <c r="AF63" s="15" t="s">
        <v>35</v>
      </c>
      <c r="AG63" s="15" t="s">
        <v>35</v>
      </c>
      <c r="AH63" s="15">
        <f t="shared" si="3"/>
        <v>10</v>
      </c>
      <c r="AI63" s="15"/>
      <c r="AJ63" s="15" t="s">
        <v>61</v>
      </c>
    </row>
    <row r="64" ht="15.75" customHeight="1">
      <c r="A64" s="15" t="s">
        <v>2854</v>
      </c>
      <c r="B64" s="23" t="s">
        <v>3108</v>
      </c>
      <c r="C64" s="15" t="s">
        <v>3109</v>
      </c>
      <c r="D64" s="15" t="s">
        <v>3110</v>
      </c>
      <c r="E64" s="15" t="s">
        <v>33</v>
      </c>
      <c r="F64" s="15" t="s">
        <v>33</v>
      </c>
      <c r="G64" s="15" t="s">
        <v>33</v>
      </c>
      <c r="H64" s="15" t="s">
        <v>33</v>
      </c>
      <c r="I64" s="15" t="s">
        <v>33</v>
      </c>
      <c r="J64" s="15" t="s">
        <v>33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5" t="s">
        <v>33</v>
      </c>
      <c r="Q64" s="15" t="s">
        <v>33</v>
      </c>
      <c r="R64" s="15" t="s">
        <v>33</v>
      </c>
      <c r="S64" s="15" t="s">
        <v>33</v>
      </c>
      <c r="T64" s="15" t="s">
        <v>33</v>
      </c>
      <c r="U64" s="15">
        <f t="shared" si="27"/>
        <v>0.35</v>
      </c>
      <c r="V64" s="20" t="s">
        <v>33</v>
      </c>
      <c r="W64" s="20" t="s">
        <v>33</v>
      </c>
      <c r="X64" s="20" t="s">
        <v>33</v>
      </c>
      <c r="Y64" s="20" t="s">
        <v>33</v>
      </c>
      <c r="Z64" s="20" t="s">
        <v>33</v>
      </c>
      <c r="AA64" s="20" t="s">
        <v>33</v>
      </c>
      <c r="AB64" s="20" t="s">
        <v>33</v>
      </c>
      <c r="AC64" s="20" t="s">
        <v>33</v>
      </c>
      <c r="AD64" s="15">
        <f t="shared" si="28"/>
        <v>0.35</v>
      </c>
      <c r="AE64" s="15" t="s">
        <v>34</v>
      </c>
      <c r="AF64" s="15" t="s">
        <v>35</v>
      </c>
      <c r="AG64" s="15" t="s">
        <v>35</v>
      </c>
      <c r="AH64" s="15">
        <f t="shared" si="3"/>
        <v>10</v>
      </c>
      <c r="AI64" s="15"/>
      <c r="AJ64" s="15" t="s">
        <v>61</v>
      </c>
    </row>
    <row r="65" ht="15.75" customHeight="1">
      <c r="A65" s="15" t="s">
        <v>2854</v>
      </c>
      <c r="B65" s="23" t="s">
        <v>3111</v>
      </c>
      <c r="C65" s="15" t="s">
        <v>3112</v>
      </c>
      <c r="D65" s="15" t="s">
        <v>3113</v>
      </c>
      <c r="E65" s="15" t="s">
        <v>33</v>
      </c>
      <c r="F65" s="15" t="s">
        <v>33</v>
      </c>
      <c r="G65" s="15" t="s">
        <v>33</v>
      </c>
      <c r="H65" s="15" t="s">
        <v>33</v>
      </c>
      <c r="I65" s="15" t="s">
        <v>33</v>
      </c>
      <c r="J65" s="15" t="s">
        <v>33</v>
      </c>
      <c r="K65" s="15" t="s">
        <v>33</v>
      </c>
      <c r="L65" s="15" t="s">
        <v>33</v>
      </c>
      <c r="M65" s="15" t="s">
        <v>33</v>
      </c>
      <c r="N65" s="15" t="s">
        <v>33</v>
      </c>
      <c r="O65" s="15" t="s">
        <v>33</v>
      </c>
      <c r="P65" s="15" t="s">
        <v>33</v>
      </c>
      <c r="Q65" s="15" t="s">
        <v>33</v>
      </c>
      <c r="R65" s="15" t="s">
        <v>33</v>
      </c>
      <c r="S65" s="15" t="s">
        <v>33</v>
      </c>
      <c r="T65" s="15" t="s">
        <v>33</v>
      </c>
      <c r="U65" s="15">
        <f t="shared" si="27"/>
        <v>0.3833333333</v>
      </c>
      <c r="V65" s="20" t="s">
        <v>33</v>
      </c>
      <c r="W65" s="20" t="s">
        <v>33</v>
      </c>
      <c r="X65" s="20" t="s">
        <v>33</v>
      </c>
      <c r="Y65" s="20" t="s">
        <v>33</v>
      </c>
      <c r="Z65" s="20" t="s">
        <v>33</v>
      </c>
      <c r="AA65" s="20" t="s">
        <v>33</v>
      </c>
      <c r="AB65" s="20" t="s">
        <v>33</v>
      </c>
      <c r="AC65" s="20" t="s">
        <v>33</v>
      </c>
      <c r="AD65" s="15">
        <f t="shared" si="28"/>
        <v>0.3833333333</v>
      </c>
      <c r="AE65" s="15" t="s">
        <v>34</v>
      </c>
      <c r="AF65" s="15" t="s">
        <v>35</v>
      </c>
      <c r="AG65" s="15" t="s">
        <v>35</v>
      </c>
      <c r="AH65" s="15">
        <f t="shared" si="3"/>
        <v>10</v>
      </c>
      <c r="AI65" s="15"/>
      <c r="AJ65" s="15" t="s">
        <v>61</v>
      </c>
    </row>
    <row r="66" ht="15.75" customHeight="1">
      <c r="A66" s="15" t="s">
        <v>2854</v>
      </c>
      <c r="B66" s="23" t="s">
        <v>3114</v>
      </c>
      <c r="C66" s="15" t="s">
        <v>3115</v>
      </c>
      <c r="D66" s="15" t="s">
        <v>1719</v>
      </c>
      <c r="E66" s="15" t="s">
        <v>3116</v>
      </c>
      <c r="F66" s="15" t="s">
        <v>3117</v>
      </c>
      <c r="G66" s="15" t="s">
        <v>3118</v>
      </c>
      <c r="H66" s="15" t="s">
        <v>3119</v>
      </c>
      <c r="I66" s="15" t="s">
        <v>33</v>
      </c>
      <c r="J66" s="15" t="s">
        <v>33</v>
      </c>
      <c r="K66" s="15" t="s">
        <v>33</v>
      </c>
      <c r="L66" s="15" t="s">
        <v>33</v>
      </c>
      <c r="M66" s="15" t="s">
        <v>33</v>
      </c>
      <c r="N66" s="15" t="s">
        <v>33</v>
      </c>
      <c r="O66" s="15" t="s">
        <v>33</v>
      </c>
      <c r="P66" s="15" t="s">
        <v>33</v>
      </c>
      <c r="Q66" s="15" t="s">
        <v>33</v>
      </c>
      <c r="R66" s="15" t="s">
        <v>33</v>
      </c>
      <c r="S66" s="15" t="s">
        <v>33</v>
      </c>
      <c r="T66" s="15" t="s">
        <v>33</v>
      </c>
      <c r="U66" s="15">
        <f t="shared" si="27"/>
        <v>0.2333333333</v>
      </c>
      <c r="V66" s="15">
        <f>TEXT(F66-E66,"[mm]")/60</f>
        <v>555.0333333</v>
      </c>
      <c r="W66" s="15">
        <f>TEXT(H66-G66,"[mm]")/60</f>
        <v>111.4166667</v>
      </c>
      <c r="X66" s="20" t="s">
        <v>33</v>
      </c>
      <c r="Y66" s="20" t="s">
        <v>33</v>
      </c>
      <c r="Z66" s="20" t="s">
        <v>33</v>
      </c>
      <c r="AA66" s="20" t="s">
        <v>33</v>
      </c>
      <c r="AB66" s="20" t="s">
        <v>33</v>
      </c>
      <c r="AC66" s="20" t="s">
        <v>33</v>
      </c>
      <c r="AD66" s="15">
        <f t="shared" si="28"/>
        <v>222.2277778</v>
      </c>
      <c r="AE66" s="15" t="s">
        <v>34</v>
      </c>
      <c r="AF66" s="15" t="s">
        <v>35</v>
      </c>
      <c r="AG66" s="15" t="s">
        <v>35</v>
      </c>
      <c r="AH66" s="15">
        <f t="shared" si="3"/>
        <v>10</v>
      </c>
      <c r="AI66" s="15"/>
      <c r="AJ66" s="15" t="s">
        <v>61</v>
      </c>
    </row>
    <row r="67" ht="15.75" customHeight="1">
      <c r="A67" s="15" t="s">
        <v>2854</v>
      </c>
      <c r="B67" s="23" t="s">
        <v>3120</v>
      </c>
      <c r="C67" s="15" t="s">
        <v>3121</v>
      </c>
      <c r="D67" s="15" t="s">
        <v>3122</v>
      </c>
      <c r="E67" s="15" t="s">
        <v>33</v>
      </c>
      <c r="F67" s="15" t="s">
        <v>33</v>
      </c>
      <c r="G67" s="15" t="s">
        <v>33</v>
      </c>
      <c r="H67" s="15" t="s">
        <v>33</v>
      </c>
      <c r="I67" s="15" t="s">
        <v>33</v>
      </c>
      <c r="J67" s="15" t="s">
        <v>33</v>
      </c>
      <c r="K67" s="15" t="s">
        <v>33</v>
      </c>
      <c r="L67" s="15" t="s">
        <v>33</v>
      </c>
      <c r="M67" s="15" t="s">
        <v>33</v>
      </c>
      <c r="N67" s="15" t="s">
        <v>33</v>
      </c>
      <c r="O67" s="15" t="s">
        <v>33</v>
      </c>
      <c r="P67" s="15" t="s">
        <v>33</v>
      </c>
      <c r="Q67" s="15" t="s">
        <v>33</v>
      </c>
      <c r="R67" s="15" t="s">
        <v>33</v>
      </c>
      <c r="S67" s="15" t="s">
        <v>33</v>
      </c>
      <c r="T67" s="15" t="s">
        <v>33</v>
      </c>
      <c r="U67" s="15">
        <f t="shared" si="27"/>
        <v>0.05</v>
      </c>
      <c r="V67" s="20" t="s">
        <v>33</v>
      </c>
      <c r="W67" s="20" t="s">
        <v>33</v>
      </c>
      <c r="X67" s="20" t="s">
        <v>33</v>
      </c>
      <c r="Y67" s="20" t="s">
        <v>33</v>
      </c>
      <c r="Z67" s="20" t="s">
        <v>33</v>
      </c>
      <c r="AA67" s="20" t="s">
        <v>33</v>
      </c>
      <c r="AB67" s="20" t="s">
        <v>33</v>
      </c>
      <c r="AC67" s="20" t="s">
        <v>33</v>
      </c>
      <c r="AD67" s="15">
        <f t="shared" si="28"/>
        <v>0.05</v>
      </c>
      <c r="AE67" s="15" t="s">
        <v>34</v>
      </c>
      <c r="AF67" s="15" t="s">
        <v>35</v>
      </c>
      <c r="AG67" s="15" t="s">
        <v>35</v>
      </c>
      <c r="AH67" s="15">
        <f t="shared" si="3"/>
        <v>10</v>
      </c>
      <c r="AI67" s="15"/>
      <c r="AJ67" s="15" t="s">
        <v>61</v>
      </c>
    </row>
    <row r="68" ht="15.75" customHeight="1">
      <c r="A68" s="15" t="s">
        <v>2854</v>
      </c>
      <c r="B68" s="23" t="s">
        <v>3123</v>
      </c>
      <c r="C68" s="15" t="s">
        <v>3124</v>
      </c>
      <c r="D68" s="15" t="s">
        <v>33</v>
      </c>
      <c r="E68" s="15" t="s">
        <v>33</v>
      </c>
      <c r="F68" s="15" t="s">
        <v>33</v>
      </c>
      <c r="G68" s="15" t="s">
        <v>33</v>
      </c>
      <c r="H68" s="15" t="s">
        <v>33</v>
      </c>
      <c r="I68" s="15" t="s">
        <v>33</v>
      </c>
      <c r="J68" s="15" t="s">
        <v>33</v>
      </c>
      <c r="K68" s="15" t="s">
        <v>33</v>
      </c>
      <c r="L68" s="15" t="s">
        <v>33</v>
      </c>
      <c r="M68" s="15" t="s">
        <v>33</v>
      </c>
      <c r="N68" s="15" t="s">
        <v>33</v>
      </c>
      <c r="O68" s="15" t="s">
        <v>33</v>
      </c>
      <c r="P68" s="15" t="s">
        <v>33</v>
      </c>
      <c r="Q68" s="15" t="s">
        <v>33</v>
      </c>
      <c r="R68" s="15" t="s">
        <v>33</v>
      </c>
      <c r="S68" s="15" t="s">
        <v>33</v>
      </c>
      <c r="T68" s="15" t="s">
        <v>33</v>
      </c>
      <c r="U68" s="20" t="s">
        <v>33</v>
      </c>
      <c r="V68" s="20" t="s">
        <v>33</v>
      </c>
      <c r="W68" s="20" t="s">
        <v>33</v>
      </c>
      <c r="X68" s="20" t="s">
        <v>33</v>
      </c>
      <c r="Y68" s="20" t="s">
        <v>33</v>
      </c>
      <c r="Z68" s="20" t="s">
        <v>33</v>
      </c>
      <c r="AA68" s="20" t="s">
        <v>33</v>
      </c>
      <c r="AB68" s="20" t="s">
        <v>33</v>
      </c>
      <c r="AC68" s="20" t="s">
        <v>33</v>
      </c>
      <c r="AD68" s="20" t="s">
        <v>33</v>
      </c>
      <c r="AE68" s="15" t="s">
        <v>35</v>
      </c>
      <c r="AF68" s="15" t="s">
        <v>35</v>
      </c>
      <c r="AG68" s="15" t="s">
        <v>35</v>
      </c>
      <c r="AH68" s="15">
        <f t="shared" si="3"/>
        <v>-15</v>
      </c>
      <c r="AI68" s="15"/>
      <c r="AJ68" s="15" t="s">
        <v>61</v>
      </c>
    </row>
    <row r="69" ht="15.75" customHeight="1">
      <c r="A69" s="15" t="s">
        <v>2854</v>
      </c>
      <c r="B69" s="23" t="s">
        <v>3125</v>
      </c>
      <c r="C69" s="15" t="s">
        <v>376</v>
      </c>
      <c r="D69" s="15" t="s">
        <v>3126</v>
      </c>
      <c r="E69" s="15" t="s">
        <v>3127</v>
      </c>
      <c r="F69" s="15" t="s">
        <v>3128</v>
      </c>
      <c r="G69" s="15" t="s">
        <v>3129</v>
      </c>
      <c r="H69" s="15" t="s">
        <v>3130</v>
      </c>
      <c r="I69" s="15" t="s">
        <v>33</v>
      </c>
      <c r="J69" s="15" t="s">
        <v>33</v>
      </c>
      <c r="K69" s="15" t="s">
        <v>33</v>
      </c>
      <c r="L69" s="15" t="s">
        <v>33</v>
      </c>
      <c r="M69" s="15" t="s">
        <v>33</v>
      </c>
      <c r="N69" s="15" t="s">
        <v>33</v>
      </c>
      <c r="O69" s="15" t="s">
        <v>33</v>
      </c>
      <c r="P69" s="15" t="s">
        <v>33</v>
      </c>
      <c r="Q69" s="15" t="s">
        <v>33</v>
      </c>
      <c r="R69" s="15" t="s">
        <v>33</v>
      </c>
      <c r="S69" s="15" t="s">
        <v>33</v>
      </c>
      <c r="T69" s="15" t="s">
        <v>33</v>
      </c>
      <c r="U69" s="15">
        <f t="shared" ref="U69:U76" si="29">TEXT(D69-C69,"[mm]")/60</f>
        <v>0.08333333333</v>
      </c>
      <c r="V69" s="15">
        <f>TEXT(F69-E69,"[mm]")/60</f>
        <v>0.2166666667</v>
      </c>
      <c r="W69" s="15">
        <f>TEXT(H69-G69,"[mm]")/60</f>
        <v>0.4166666667</v>
      </c>
      <c r="X69" s="20" t="s">
        <v>33</v>
      </c>
      <c r="Y69" s="20" t="s">
        <v>33</v>
      </c>
      <c r="Z69" s="20" t="s">
        <v>33</v>
      </c>
      <c r="AA69" s="20" t="s">
        <v>33</v>
      </c>
      <c r="AB69" s="20" t="s">
        <v>33</v>
      </c>
      <c r="AC69" s="20" t="s">
        <v>33</v>
      </c>
      <c r="AD69" s="15">
        <f t="shared" ref="AD69:AD76" si="30">AVERAGE(U69:AC69)</f>
        <v>0.2388888889</v>
      </c>
      <c r="AE69" s="15" t="s">
        <v>34</v>
      </c>
      <c r="AF69" s="15" t="s">
        <v>35</v>
      </c>
      <c r="AG69" s="15" t="s">
        <v>35</v>
      </c>
      <c r="AH69" s="15">
        <f t="shared" si="3"/>
        <v>10</v>
      </c>
      <c r="AI69" s="15"/>
      <c r="AJ69" s="15" t="s">
        <v>61</v>
      </c>
    </row>
    <row r="70" ht="15.75" customHeight="1">
      <c r="A70" s="15" t="s">
        <v>2854</v>
      </c>
      <c r="B70" s="23" t="s">
        <v>3131</v>
      </c>
      <c r="C70" s="15" t="s">
        <v>2191</v>
      </c>
      <c r="D70" s="15" t="s">
        <v>3132</v>
      </c>
      <c r="E70" s="15" t="s">
        <v>33</v>
      </c>
      <c r="F70" s="15" t="s">
        <v>3133</v>
      </c>
      <c r="G70" s="15" t="s">
        <v>33</v>
      </c>
      <c r="H70" s="15" t="s">
        <v>33</v>
      </c>
      <c r="I70" s="15" t="s">
        <v>33</v>
      </c>
      <c r="J70" s="15" t="s">
        <v>33</v>
      </c>
      <c r="K70" s="15" t="s">
        <v>33</v>
      </c>
      <c r="L70" s="15" t="s">
        <v>33</v>
      </c>
      <c r="M70" s="15" t="s">
        <v>33</v>
      </c>
      <c r="N70" s="15" t="s">
        <v>33</v>
      </c>
      <c r="O70" s="15" t="s">
        <v>33</v>
      </c>
      <c r="P70" s="15" t="s">
        <v>33</v>
      </c>
      <c r="Q70" s="15" t="s">
        <v>33</v>
      </c>
      <c r="R70" s="15" t="s">
        <v>33</v>
      </c>
      <c r="S70" s="15" t="s">
        <v>33</v>
      </c>
      <c r="T70" s="15" t="s">
        <v>33</v>
      </c>
      <c r="U70" s="15">
        <f t="shared" si="29"/>
        <v>0.25</v>
      </c>
      <c r="V70" s="20" t="s">
        <v>33</v>
      </c>
      <c r="W70" s="20" t="s">
        <v>33</v>
      </c>
      <c r="X70" s="20" t="s">
        <v>33</v>
      </c>
      <c r="Y70" s="20" t="s">
        <v>33</v>
      </c>
      <c r="Z70" s="20" t="s">
        <v>33</v>
      </c>
      <c r="AA70" s="20" t="s">
        <v>33</v>
      </c>
      <c r="AB70" s="20" t="s">
        <v>33</v>
      </c>
      <c r="AC70" s="20" t="s">
        <v>33</v>
      </c>
      <c r="AD70" s="15">
        <f t="shared" si="30"/>
        <v>0.25</v>
      </c>
      <c r="AE70" s="15" t="s">
        <v>34</v>
      </c>
      <c r="AF70" s="15" t="s">
        <v>35</v>
      </c>
      <c r="AG70" s="15" t="s">
        <v>35</v>
      </c>
      <c r="AH70" s="15">
        <f t="shared" si="3"/>
        <v>10</v>
      </c>
      <c r="AI70" s="15"/>
      <c r="AJ70" s="15" t="s">
        <v>61</v>
      </c>
    </row>
    <row r="71" ht="15.75" customHeight="1">
      <c r="A71" s="15" t="s">
        <v>2854</v>
      </c>
      <c r="B71" s="23" t="s">
        <v>3134</v>
      </c>
      <c r="C71" s="15" t="s">
        <v>3135</v>
      </c>
      <c r="D71" s="15" t="s">
        <v>3136</v>
      </c>
      <c r="E71" s="15" t="s">
        <v>3137</v>
      </c>
      <c r="F71" s="15" t="s">
        <v>33</v>
      </c>
      <c r="G71" s="15" t="s">
        <v>3138</v>
      </c>
      <c r="H71" s="15" t="s">
        <v>33</v>
      </c>
      <c r="I71" s="15" t="s">
        <v>33</v>
      </c>
      <c r="J71" s="15" t="s">
        <v>33</v>
      </c>
      <c r="K71" s="15" t="s">
        <v>33</v>
      </c>
      <c r="L71" s="15" t="s">
        <v>33</v>
      </c>
      <c r="M71" s="15" t="s">
        <v>33</v>
      </c>
      <c r="N71" s="15" t="s">
        <v>33</v>
      </c>
      <c r="O71" s="15" t="s">
        <v>33</v>
      </c>
      <c r="P71" s="15" t="s">
        <v>33</v>
      </c>
      <c r="Q71" s="15" t="s">
        <v>33</v>
      </c>
      <c r="R71" s="15" t="s">
        <v>33</v>
      </c>
      <c r="S71" s="15" t="s">
        <v>33</v>
      </c>
      <c r="T71" s="15" t="s">
        <v>33</v>
      </c>
      <c r="U71" s="15">
        <f t="shared" si="29"/>
        <v>14.6</v>
      </c>
      <c r="V71" s="20" t="s">
        <v>33</v>
      </c>
      <c r="W71" s="20" t="s">
        <v>33</v>
      </c>
      <c r="X71" s="20" t="s">
        <v>33</v>
      </c>
      <c r="Y71" s="20" t="s">
        <v>33</v>
      </c>
      <c r="Z71" s="20" t="s">
        <v>33</v>
      </c>
      <c r="AA71" s="20" t="s">
        <v>33</v>
      </c>
      <c r="AB71" s="20" t="s">
        <v>33</v>
      </c>
      <c r="AC71" s="20" t="s">
        <v>33</v>
      </c>
      <c r="AD71" s="15">
        <f t="shared" si="30"/>
        <v>14.6</v>
      </c>
      <c r="AE71" s="15" t="s">
        <v>34</v>
      </c>
      <c r="AF71" s="15" t="s">
        <v>35</v>
      </c>
      <c r="AG71" s="15" t="s">
        <v>35</v>
      </c>
      <c r="AH71" s="15">
        <f t="shared" si="3"/>
        <v>10</v>
      </c>
      <c r="AI71" s="15"/>
      <c r="AJ71" s="15" t="s">
        <v>61</v>
      </c>
    </row>
    <row r="72" ht="15.75" customHeight="1">
      <c r="A72" s="15" t="s">
        <v>2854</v>
      </c>
      <c r="B72" s="23" t="s">
        <v>3139</v>
      </c>
      <c r="C72" s="15" t="s">
        <v>3140</v>
      </c>
      <c r="D72" s="15" t="s">
        <v>3141</v>
      </c>
      <c r="E72" s="15" t="s">
        <v>3142</v>
      </c>
      <c r="F72" s="15" t="s">
        <v>1742</v>
      </c>
      <c r="G72" s="15" t="s">
        <v>3143</v>
      </c>
      <c r="H72" s="15" t="s">
        <v>3144</v>
      </c>
      <c r="I72" s="15" t="s">
        <v>3145</v>
      </c>
      <c r="J72" s="15" t="s">
        <v>3146</v>
      </c>
      <c r="K72" s="15" t="s">
        <v>3049</v>
      </c>
      <c r="L72" s="15" t="s">
        <v>3147</v>
      </c>
      <c r="M72" s="15" t="s">
        <v>3148</v>
      </c>
      <c r="N72" s="15" t="s">
        <v>33</v>
      </c>
      <c r="O72" s="15" t="s">
        <v>3149</v>
      </c>
      <c r="P72" s="15" t="s">
        <v>33</v>
      </c>
      <c r="Q72" s="15" t="s">
        <v>33</v>
      </c>
      <c r="R72" s="15" t="s">
        <v>33</v>
      </c>
      <c r="S72" s="15" t="s">
        <v>33</v>
      </c>
      <c r="T72" s="15" t="s">
        <v>33</v>
      </c>
      <c r="U72" s="15">
        <f t="shared" si="29"/>
        <v>0.3833333333</v>
      </c>
      <c r="V72" s="15">
        <f t="shared" ref="V72:V76" si="31">TEXT(F72-E72,"[mm]")/60</f>
        <v>5.05</v>
      </c>
      <c r="W72" s="15">
        <f t="shared" ref="W72:W74" si="32">TEXT(H72-G72,"[mm]")/60</f>
        <v>21.85</v>
      </c>
      <c r="X72" s="15">
        <f>TEXT(J72-I72,"[mm]")/60</f>
        <v>66.2</v>
      </c>
      <c r="Y72" s="15">
        <f>TEXT(L72-K72,"[mm]")/60</f>
        <v>174.2166667</v>
      </c>
      <c r="Z72" s="20" t="s">
        <v>33</v>
      </c>
      <c r="AA72" s="20" t="s">
        <v>33</v>
      </c>
      <c r="AB72" s="20" t="s">
        <v>33</v>
      </c>
      <c r="AC72" s="20" t="s">
        <v>33</v>
      </c>
      <c r="AD72" s="15">
        <f t="shared" si="30"/>
        <v>53.54</v>
      </c>
      <c r="AE72" s="15" t="s">
        <v>34</v>
      </c>
      <c r="AF72" s="15" t="s">
        <v>35</v>
      </c>
      <c r="AG72" s="15" t="s">
        <v>35</v>
      </c>
      <c r="AH72" s="15">
        <f t="shared" si="3"/>
        <v>10</v>
      </c>
      <c r="AI72" s="15"/>
      <c r="AJ72" s="15" t="s">
        <v>61</v>
      </c>
    </row>
    <row r="73" ht="15.75" customHeight="1">
      <c r="A73" s="15" t="s">
        <v>2854</v>
      </c>
      <c r="B73" s="23" t="s">
        <v>3150</v>
      </c>
      <c r="C73" s="15" t="s">
        <v>3151</v>
      </c>
      <c r="D73" s="15" t="s">
        <v>3152</v>
      </c>
      <c r="E73" s="19">
        <v>46132.66736111111</v>
      </c>
      <c r="F73" s="19">
        <v>46132.68125</v>
      </c>
      <c r="G73" s="19">
        <v>46132.70416666667</v>
      </c>
      <c r="H73" s="19">
        <v>46132.87569444445</v>
      </c>
      <c r="I73" s="15" t="s">
        <v>33</v>
      </c>
      <c r="J73" s="15" t="s">
        <v>2004</v>
      </c>
      <c r="K73" s="15" t="s">
        <v>33</v>
      </c>
      <c r="L73" s="15" t="s">
        <v>33</v>
      </c>
      <c r="M73" s="15" t="s">
        <v>33</v>
      </c>
      <c r="N73" s="15" t="s">
        <v>33</v>
      </c>
      <c r="O73" s="15" t="s">
        <v>33</v>
      </c>
      <c r="P73" s="15" t="s">
        <v>33</v>
      </c>
      <c r="Q73" s="15" t="s">
        <v>33</v>
      </c>
      <c r="R73" s="15" t="s">
        <v>33</v>
      </c>
      <c r="S73" s="15" t="s">
        <v>33</v>
      </c>
      <c r="T73" s="15" t="s">
        <v>33</v>
      </c>
      <c r="U73" s="15">
        <f t="shared" si="29"/>
        <v>0.15</v>
      </c>
      <c r="V73" s="15">
        <f t="shared" si="31"/>
        <v>0.3333333333</v>
      </c>
      <c r="W73" s="15">
        <f t="shared" si="32"/>
        <v>4.116666667</v>
      </c>
      <c r="X73" s="20" t="s">
        <v>33</v>
      </c>
      <c r="Y73" s="20" t="s">
        <v>33</v>
      </c>
      <c r="Z73" s="20" t="s">
        <v>33</v>
      </c>
      <c r="AA73" s="20" t="s">
        <v>33</v>
      </c>
      <c r="AB73" s="20" t="s">
        <v>33</v>
      </c>
      <c r="AC73" s="20" t="s">
        <v>33</v>
      </c>
      <c r="AD73" s="15">
        <f t="shared" si="30"/>
        <v>1.533333333</v>
      </c>
      <c r="AE73" s="15" t="s">
        <v>34</v>
      </c>
      <c r="AF73" s="15" t="s">
        <v>35</v>
      </c>
      <c r="AG73" s="15" t="s">
        <v>35</v>
      </c>
      <c r="AH73" s="15">
        <f t="shared" si="3"/>
        <v>10</v>
      </c>
      <c r="AI73" s="15"/>
      <c r="AJ73" s="15" t="s">
        <v>61</v>
      </c>
    </row>
    <row r="74" ht="15.75" customHeight="1">
      <c r="A74" s="15" t="s">
        <v>2854</v>
      </c>
      <c r="B74" s="23" t="s">
        <v>3153</v>
      </c>
      <c r="C74" s="15" t="s">
        <v>3154</v>
      </c>
      <c r="D74" s="15" t="s">
        <v>3155</v>
      </c>
      <c r="E74" s="15" t="s">
        <v>3156</v>
      </c>
      <c r="F74" s="15" t="s">
        <v>3157</v>
      </c>
      <c r="G74" s="15" t="s">
        <v>3158</v>
      </c>
      <c r="H74" s="15" t="s">
        <v>3159</v>
      </c>
      <c r="I74" s="15" t="s">
        <v>3160</v>
      </c>
      <c r="J74" s="15" t="s">
        <v>3161</v>
      </c>
      <c r="K74" s="15" t="s">
        <v>1144</v>
      </c>
      <c r="L74" s="15" t="s">
        <v>1141</v>
      </c>
      <c r="M74" s="15" t="s">
        <v>1502</v>
      </c>
      <c r="N74" s="15" t="s">
        <v>3162</v>
      </c>
      <c r="O74" s="15" t="s">
        <v>3163</v>
      </c>
      <c r="P74" s="15" t="s">
        <v>3164</v>
      </c>
      <c r="Q74" s="15" t="s">
        <v>3165</v>
      </c>
      <c r="R74" s="15" t="s">
        <v>3166</v>
      </c>
      <c r="S74" s="15" t="s">
        <v>3167</v>
      </c>
      <c r="T74" s="15" t="s">
        <v>3168</v>
      </c>
      <c r="U74" s="15">
        <f t="shared" si="29"/>
        <v>112.7833333</v>
      </c>
      <c r="V74" s="15">
        <f t="shared" si="31"/>
        <v>0.45</v>
      </c>
      <c r="W74" s="15">
        <f t="shared" si="32"/>
        <v>10.4</v>
      </c>
      <c r="X74" s="15">
        <f>TEXT(J74-I74,"[mm]")/60</f>
        <v>0.06666666667</v>
      </c>
      <c r="Y74" s="15">
        <f>TEXT(L74-K74,"[mm]")/60</f>
        <v>0.1833333333</v>
      </c>
      <c r="Z74" s="15">
        <f>TEXT(N74-M74,"[mm]")/60</f>
        <v>8.7</v>
      </c>
      <c r="AA74" s="15">
        <f>TEXT(P74-O74,"[mm]")/60</f>
        <v>425.2666667</v>
      </c>
      <c r="AB74" s="15">
        <f>TEXT(R74-Q74,"[mm]")/60</f>
        <v>409.6333333</v>
      </c>
      <c r="AC74" s="15">
        <f>TEXT(T74-S74,"[mm]")/60</f>
        <v>75.9</v>
      </c>
      <c r="AD74" s="15">
        <f t="shared" si="30"/>
        <v>115.9314815</v>
      </c>
      <c r="AE74" s="15" t="s">
        <v>35</v>
      </c>
      <c r="AF74" s="15" t="s">
        <v>35</v>
      </c>
      <c r="AG74" s="15" t="s">
        <v>34</v>
      </c>
      <c r="AH74" s="15">
        <f t="shared" si="3"/>
        <v>-10</v>
      </c>
      <c r="AI74" s="15"/>
      <c r="AJ74" s="15" t="s">
        <v>61</v>
      </c>
    </row>
    <row r="75" ht="15.75" customHeight="1">
      <c r="A75" s="15" t="s">
        <v>2854</v>
      </c>
      <c r="B75" s="23" t="s">
        <v>3169</v>
      </c>
      <c r="C75" s="15" t="s">
        <v>786</v>
      </c>
      <c r="D75" s="15" t="s">
        <v>3170</v>
      </c>
      <c r="E75" s="15" t="s">
        <v>3171</v>
      </c>
      <c r="F75" s="15" t="s">
        <v>2573</v>
      </c>
      <c r="G75" s="15" t="s">
        <v>3172</v>
      </c>
      <c r="H75" s="15" t="s">
        <v>33</v>
      </c>
      <c r="I75" s="15" t="s">
        <v>363</v>
      </c>
      <c r="J75" s="15" t="s">
        <v>33</v>
      </c>
      <c r="K75" s="15" t="s">
        <v>3173</v>
      </c>
      <c r="L75" s="15" t="s">
        <v>33</v>
      </c>
      <c r="M75" s="15" t="s">
        <v>3174</v>
      </c>
      <c r="N75" s="15" t="s">
        <v>33</v>
      </c>
      <c r="O75" s="15" t="s">
        <v>3175</v>
      </c>
      <c r="P75" s="15" t="s">
        <v>33</v>
      </c>
      <c r="Q75" s="15" t="s">
        <v>3176</v>
      </c>
      <c r="R75" s="15" t="s">
        <v>33</v>
      </c>
      <c r="S75" s="15" t="s">
        <v>33</v>
      </c>
      <c r="T75" s="15" t="s">
        <v>33</v>
      </c>
      <c r="U75" s="15">
        <f t="shared" si="29"/>
        <v>0.1</v>
      </c>
      <c r="V75" s="15">
        <f t="shared" si="31"/>
        <v>72.9</v>
      </c>
      <c r="W75" s="20" t="s">
        <v>33</v>
      </c>
      <c r="X75" s="20" t="s">
        <v>33</v>
      </c>
      <c r="Y75" s="20" t="s">
        <v>33</v>
      </c>
      <c r="Z75" s="20" t="s">
        <v>33</v>
      </c>
      <c r="AA75" s="20" t="s">
        <v>33</v>
      </c>
      <c r="AB75" s="20" t="s">
        <v>33</v>
      </c>
      <c r="AC75" s="20" t="s">
        <v>33</v>
      </c>
      <c r="AD75" s="15">
        <f t="shared" si="30"/>
        <v>36.5</v>
      </c>
      <c r="AE75" s="15" t="s">
        <v>34</v>
      </c>
      <c r="AF75" s="15" t="s">
        <v>35</v>
      </c>
      <c r="AG75" s="15" t="s">
        <v>35</v>
      </c>
      <c r="AH75" s="15">
        <f t="shared" si="3"/>
        <v>10</v>
      </c>
      <c r="AI75" s="15"/>
      <c r="AJ75" s="15" t="s">
        <v>61</v>
      </c>
    </row>
    <row r="76" ht="15.75" customHeight="1">
      <c r="A76" s="15" t="s">
        <v>2854</v>
      </c>
      <c r="B76" s="23" t="s">
        <v>3177</v>
      </c>
      <c r="C76" s="15" t="s">
        <v>1782</v>
      </c>
      <c r="D76" s="15" t="s">
        <v>3178</v>
      </c>
      <c r="E76" s="15" t="s">
        <v>3179</v>
      </c>
      <c r="F76" s="15" t="s">
        <v>3180</v>
      </c>
      <c r="G76" s="19">
        <v>46131.05486111111</v>
      </c>
      <c r="H76" s="19">
        <v>46137.56319444445</v>
      </c>
      <c r="I76" s="15" t="s">
        <v>33</v>
      </c>
      <c r="J76" s="15" t="s">
        <v>33</v>
      </c>
      <c r="K76" s="15" t="s">
        <v>33</v>
      </c>
      <c r="L76" s="15" t="s">
        <v>33</v>
      </c>
      <c r="M76" s="15" t="s">
        <v>33</v>
      </c>
      <c r="N76" s="15" t="s">
        <v>33</v>
      </c>
      <c r="O76" s="15" t="s">
        <v>33</v>
      </c>
      <c r="P76" s="15" t="s">
        <v>33</v>
      </c>
      <c r="Q76" s="15" t="s">
        <v>33</v>
      </c>
      <c r="R76" s="15" t="s">
        <v>33</v>
      </c>
      <c r="S76" s="15" t="s">
        <v>33</v>
      </c>
      <c r="T76" s="15" t="s">
        <v>33</v>
      </c>
      <c r="U76" s="15">
        <f t="shared" si="29"/>
        <v>0.2333333333</v>
      </c>
      <c r="V76" s="15">
        <f t="shared" si="31"/>
        <v>0.3</v>
      </c>
      <c r="W76" s="15">
        <f>TEXT(H76-G76,"[mm]")/60</f>
        <v>156.2</v>
      </c>
      <c r="X76" s="20" t="s">
        <v>33</v>
      </c>
      <c r="Y76" s="20" t="s">
        <v>33</v>
      </c>
      <c r="Z76" s="20" t="s">
        <v>33</v>
      </c>
      <c r="AA76" s="20" t="s">
        <v>33</v>
      </c>
      <c r="AB76" s="20" t="s">
        <v>33</v>
      </c>
      <c r="AC76" s="20" t="s">
        <v>33</v>
      </c>
      <c r="AD76" s="15">
        <f t="shared" si="30"/>
        <v>52.24444444</v>
      </c>
      <c r="AE76" s="15" t="s">
        <v>34</v>
      </c>
      <c r="AF76" s="15" t="s">
        <v>35</v>
      </c>
      <c r="AG76" s="15" t="s">
        <v>35</v>
      </c>
      <c r="AH76" s="15">
        <f t="shared" si="3"/>
        <v>10</v>
      </c>
      <c r="AI76" s="15"/>
      <c r="AJ76" s="15" t="s">
        <v>61</v>
      </c>
    </row>
    <row r="77" ht="15.75" customHeight="1">
      <c r="A77" s="15" t="s">
        <v>2854</v>
      </c>
      <c r="B77" s="23" t="s">
        <v>3181</v>
      </c>
      <c r="C77" s="15" t="s">
        <v>3182</v>
      </c>
      <c r="D77" s="15" t="s">
        <v>33</v>
      </c>
      <c r="E77" s="15" t="s">
        <v>33</v>
      </c>
      <c r="F77" s="15" t="s">
        <v>33</v>
      </c>
      <c r="G77" s="15" t="s">
        <v>33</v>
      </c>
      <c r="H77" s="15" t="s">
        <v>33</v>
      </c>
      <c r="I77" s="15" t="s">
        <v>33</v>
      </c>
      <c r="J77" s="15" t="s">
        <v>33</v>
      </c>
      <c r="K77" s="15" t="s">
        <v>33</v>
      </c>
      <c r="L77" s="15" t="s">
        <v>33</v>
      </c>
      <c r="M77" s="15" t="s">
        <v>33</v>
      </c>
      <c r="N77" s="15" t="s">
        <v>33</v>
      </c>
      <c r="O77" s="15" t="s">
        <v>33</v>
      </c>
      <c r="P77" s="15" t="s">
        <v>33</v>
      </c>
      <c r="Q77" s="15" t="s">
        <v>33</v>
      </c>
      <c r="R77" s="15" t="s">
        <v>33</v>
      </c>
      <c r="S77" s="15" t="s">
        <v>33</v>
      </c>
      <c r="T77" s="15" t="s">
        <v>33</v>
      </c>
      <c r="U77" s="20" t="s">
        <v>33</v>
      </c>
      <c r="V77" s="20" t="s">
        <v>33</v>
      </c>
      <c r="W77" s="20" t="s">
        <v>33</v>
      </c>
      <c r="X77" s="20" t="s">
        <v>33</v>
      </c>
      <c r="Y77" s="20" t="s">
        <v>33</v>
      </c>
      <c r="Z77" s="20" t="s">
        <v>33</v>
      </c>
      <c r="AA77" s="20" t="s">
        <v>33</v>
      </c>
      <c r="AB77" s="20" t="s">
        <v>33</v>
      </c>
      <c r="AC77" s="20" t="s">
        <v>33</v>
      </c>
      <c r="AD77" s="20" t="s">
        <v>33</v>
      </c>
      <c r="AE77" s="15" t="s">
        <v>35</v>
      </c>
      <c r="AF77" s="15" t="s">
        <v>35</v>
      </c>
      <c r="AG77" s="15" t="s">
        <v>35</v>
      </c>
      <c r="AH77" s="15">
        <f t="shared" si="3"/>
        <v>-15</v>
      </c>
      <c r="AI77" s="15"/>
      <c r="AJ77" s="15" t="s">
        <v>61</v>
      </c>
    </row>
    <row r="78" ht="15.75" customHeight="1">
      <c r="A78" s="15" t="s">
        <v>2854</v>
      </c>
      <c r="B78" s="23" t="s">
        <v>3183</v>
      </c>
      <c r="C78" s="15" t="s">
        <v>3184</v>
      </c>
      <c r="D78" s="15" t="s">
        <v>3185</v>
      </c>
      <c r="E78" s="15" t="s">
        <v>33</v>
      </c>
      <c r="F78" s="15" t="s">
        <v>3186</v>
      </c>
      <c r="G78" s="15" t="s">
        <v>33</v>
      </c>
      <c r="H78" s="15" t="s">
        <v>33</v>
      </c>
      <c r="I78" s="15" t="s">
        <v>33</v>
      </c>
      <c r="J78" s="15" t="s">
        <v>33</v>
      </c>
      <c r="K78" s="15" t="s">
        <v>33</v>
      </c>
      <c r="L78" s="15" t="s">
        <v>33</v>
      </c>
      <c r="M78" s="15" t="s">
        <v>33</v>
      </c>
      <c r="N78" s="15" t="s">
        <v>33</v>
      </c>
      <c r="O78" s="15" t="s">
        <v>33</v>
      </c>
      <c r="P78" s="15" t="s">
        <v>33</v>
      </c>
      <c r="Q78" s="15" t="s">
        <v>33</v>
      </c>
      <c r="R78" s="15" t="s">
        <v>33</v>
      </c>
      <c r="S78" s="15" t="s">
        <v>33</v>
      </c>
      <c r="T78" s="15" t="s">
        <v>33</v>
      </c>
      <c r="U78" s="15">
        <f t="shared" ref="U78:U79" si="33">TEXT(D78-C78,"[mm]")/60</f>
        <v>0.03333333333</v>
      </c>
      <c r="V78" s="20" t="s">
        <v>33</v>
      </c>
      <c r="W78" s="20" t="s">
        <v>33</v>
      </c>
      <c r="X78" s="20" t="s">
        <v>33</v>
      </c>
      <c r="Y78" s="20" t="s">
        <v>33</v>
      </c>
      <c r="Z78" s="20" t="s">
        <v>33</v>
      </c>
      <c r="AA78" s="20" t="s">
        <v>33</v>
      </c>
      <c r="AB78" s="20" t="s">
        <v>33</v>
      </c>
      <c r="AC78" s="20" t="s">
        <v>33</v>
      </c>
      <c r="AD78" s="15">
        <f t="shared" ref="AD78:AD79" si="34">AVERAGE(U78:AC78)</f>
        <v>0.03333333333</v>
      </c>
      <c r="AE78" s="15" t="s">
        <v>34</v>
      </c>
      <c r="AF78" s="15" t="s">
        <v>35</v>
      </c>
      <c r="AG78" s="15" t="s">
        <v>35</v>
      </c>
      <c r="AH78" s="15">
        <f t="shared" si="3"/>
        <v>10</v>
      </c>
      <c r="AI78" s="15"/>
      <c r="AJ78" s="15" t="s">
        <v>61</v>
      </c>
    </row>
    <row r="79" ht="15.75" customHeight="1">
      <c r="A79" s="15" t="s">
        <v>2854</v>
      </c>
      <c r="B79" s="23" t="s">
        <v>3187</v>
      </c>
      <c r="C79" s="15" t="s">
        <v>3188</v>
      </c>
      <c r="D79" s="15" t="s">
        <v>3189</v>
      </c>
      <c r="E79" s="15" t="s">
        <v>3190</v>
      </c>
      <c r="F79" s="15" t="s">
        <v>3086</v>
      </c>
      <c r="G79" s="15" t="s">
        <v>3191</v>
      </c>
      <c r="H79" s="15" t="s">
        <v>33</v>
      </c>
      <c r="I79" s="15" t="s">
        <v>3192</v>
      </c>
      <c r="J79" s="15" t="s">
        <v>33</v>
      </c>
      <c r="K79" s="15" t="s">
        <v>3193</v>
      </c>
      <c r="L79" s="15" t="s">
        <v>33</v>
      </c>
      <c r="M79" s="15" t="s">
        <v>3194</v>
      </c>
      <c r="N79" s="15" t="s">
        <v>33</v>
      </c>
      <c r="O79" s="15" t="s">
        <v>3195</v>
      </c>
      <c r="P79" s="15" t="s">
        <v>33</v>
      </c>
      <c r="Q79" s="15" t="s">
        <v>3196</v>
      </c>
      <c r="R79" s="15" t="s">
        <v>33</v>
      </c>
      <c r="S79" s="15" t="s">
        <v>33</v>
      </c>
      <c r="T79" s="15" t="s">
        <v>33</v>
      </c>
      <c r="U79" s="15">
        <f t="shared" si="33"/>
        <v>0.6333333333</v>
      </c>
      <c r="V79" s="15">
        <f>TEXT(F79-E79,"[mm]")/60</f>
        <v>80.3</v>
      </c>
      <c r="W79" s="20" t="s">
        <v>33</v>
      </c>
      <c r="X79" s="20" t="s">
        <v>33</v>
      </c>
      <c r="Y79" s="20" t="s">
        <v>33</v>
      </c>
      <c r="Z79" s="20" t="s">
        <v>33</v>
      </c>
      <c r="AA79" s="20" t="s">
        <v>33</v>
      </c>
      <c r="AB79" s="20" t="s">
        <v>33</v>
      </c>
      <c r="AC79" s="20" t="s">
        <v>33</v>
      </c>
      <c r="AD79" s="15">
        <f t="shared" si="34"/>
        <v>40.46666667</v>
      </c>
      <c r="AE79" s="15" t="s">
        <v>34</v>
      </c>
      <c r="AF79" s="15" t="s">
        <v>35</v>
      </c>
      <c r="AG79" s="15" t="s">
        <v>35</v>
      </c>
      <c r="AH79" s="15">
        <f t="shared" si="3"/>
        <v>10</v>
      </c>
      <c r="AI79" s="15"/>
      <c r="AJ79" s="15" t="s">
        <v>61</v>
      </c>
    </row>
    <row r="80" ht="15.75" customHeight="1">
      <c r="A80" s="15" t="s">
        <v>2854</v>
      </c>
      <c r="B80" s="23" t="s">
        <v>3197</v>
      </c>
      <c r="C80" s="15" t="s">
        <v>3198</v>
      </c>
      <c r="D80" s="15" t="s">
        <v>33</v>
      </c>
      <c r="E80" s="15" t="s">
        <v>33</v>
      </c>
      <c r="F80" s="15" t="s">
        <v>33</v>
      </c>
      <c r="G80" s="15" t="s">
        <v>33</v>
      </c>
      <c r="H80" s="15" t="s">
        <v>33</v>
      </c>
      <c r="I80" s="15" t="s">
        <v>33</v>
      </c>
      <c r="J80" s="15" t="s">
        <v>33</v>
      </c>
      <c r="K80" s="15" t="s">
        <v>33</v>
      </c>
      <c r="L80" s="15" t="s">
        <v>33</v>
      </c>
      <c r="M80" s="15" t="s">
        <v>33</v>
      </c>
      <c r="N80" s="15" t="s">
        <v>33</v>
      </c>
      <c r="O80" s="15" t="s">
        <v>33</v>
      </c>
      <c r="P80" s="15" t="s">
        <v>33</v>
      </c>
      <c r="Q80" s="15" t="s">
        <v>33</v>
      </c>
      <c r="R80" s="15" t="s">
        <v>33</v>
      </c>
      <c r="S80" s="15" t="s">
        <v>33</v>
      </c>
      <c r="T80" s="15" t="s">
        <v>33</v>
      </c>
      <c r="U80" s="20" t="s">
        <v>33</v>
      </c>
      <c r="V80" s="20" t="s">
        <v>33</v>
      </c>
      <c r="W80" s="20" t="s">
        <v>33</v>
      </c>
      <c r="X80" s="20" t="s">
        <v>33</v>
      </c>
      <c r="Y80" s="20" t="s">
        <v>33</v>
      </c>
      <c r="Z80" s="20" t="s">
        <v>33</v>
      </c>
      <c r="AA80" s="20" t="s">
        <v>33</v>
      </c>
      <c r="AB80" s="20" t="s">
        <v>33</v>
      </c>
      <c r="AC80" s="20" t="s">
        <v>33</v>
      </c>
      <c r="AD80" s="20" t="s">
        <v>33</v>
      </c>
      <c r="AE80" s="15" t="s">
        <v>35</v>
      </c>
      <c r="AF80" s="15" t="s">
        <v>35</v>
      </c>
      <c r="AG80" s="15" t="s">
        <v>35</v>
      </c>
      <c r="AH80" s="15">
        <f t="shared" si="3"/>
        <v>-15</v>
      </c>
      <c r="AI80" s="15"/>
      <c r="AJ80" s="15" t="s">
        <v>61</v>
      </c>
    </row>
    <row r="81" ht="15.75" customHeight="1">
      <c r="A81" s="15" t="s">
        <v>2854</v>
      </c>
      <c r="B81" s="23" t="s">
        <v>3199</v>
      </c>
      <c r="C81" s="15" t="s">
        <v>3200</v>
      </c>
      <c r="D81" s="15" t="s">
        <v>3201</v>
      </c>
      <c r="E81" s="15" t="s">
        <v>33</v>
      </c>
      <c r="F81" s="15" t="s">
        <v>33</v>
      </c>
      <c r="G81" s="15" t="s">
        <v>33</v>
      </c>
      <c r="H81" s="15" t="s">
        <v>33</v>
      </c>
      <c r="I81" s="15" t="s">
        <v>33</v>
      </c>
      <c r="J81" s="15" t="s">
        <v>33</v>
      </c>
      <c r="K81" s="15" t="s">
        <v>33</v>
      </c>
      <c r="L81" s="15" t="s">
        <v>33</v>
      </c>
      <c r="M81" s="15" t="s">
        <v>33</v>
      </c>
      <c r="N81" s="15" t="s">
        <v>33</v>
      </c>
      <c r="O81" s="15" t="s">
        <v>33</v>
      </c>
      <c r="P81" s="15" t="s">
        <v>33</v>
      </c>
      <c r="Q81" s="15" t="s">
        <v>33</v>
      </c>
      <c r="R81" s="15" t="s">
        <v>33</v>
      </c>
      <c r="S81" s="15" t="s">
        <v>33</v>
      </c>
      <c r="T81" s="15" t="s">
        <v>33</v>
      </c>
      <c r="U81" s="15">
        <f>TEXT(D81-C81,"[mm]")/60</f>
        <v>4</v>
      </c>
      <c r="V81" s="20" t="s">
        <v>33</v>
      </c>
      <c r="W81" s="20" t="s">
        <v>33</v>
      </c>
      <c r="X81" s="20" t="s">
        <v>33</v>
      </c>
      <c r="Y81" s="20" t="s">
        <v>33</v>
      </c>
      <c r="Z81" s="20" t="s">
        <v>33</v>
      </c>
      <c r="AA81" s="20" t="s">
        <v>33</v>
      </c>
      <c r="AB81" s="20" t="s">
        <v>33</v>
      </c>
      <c r="AC81" s="20" t="s">
        <v>33</v>
      </c>
      <c r="AD81" s="15">
        <f>AVERAGE(U81:AC81)</f>
        <v>4</v>
      </c>
      <c r="AE81" s="15" t="s">
        <v>34</v>
      </c>
      <c r="AF81" s="15" t="s">
        <v>35</v>
      </c>
      <c r="AG81" s="15" t="s">
        <v>35</v>
      </c>
      <c r="AH81" s="15">
        <f t="shared" si="3"/>
        <v>10</v>
      </c>
      <c r="AI81" s="15"/>
      <c r="AJ81" s="15" t="s">
        <v>61</v>
      </c>
    </row>
    <row r="82" ht="15.75" customHeight="1">
      <c r="A82" s="15" t="s">
        <v>2854</v>
      </c>
      <c r="B82" s="23" t="s">
        <v>3202</v>
      </c>
      <c r="C82" s="15" t="s">
        <v>3203</v>
      </c>
      <c r="D82" s="15" t="s">
        <v>33</v>
      </c>
      <c r="E82" s="15" t="s">
        <v>33</v>
      </c>
      <c r="F82" s="15" t="s">
        <v>33</v>
      </c>
      <c r="G82" s="15" t="s">
        <v>33</v>
      </c>
      <c r="H82" s="15" t="s">
        <v>33</v>
      </c>
      <c r="I82" s="15" t="s">
        <v>33</v>
      </c>
      <c r="J82" s="15" t="s">
        <v>33</v>
      </c>
      <c r="K82" s="15" t="s">
        <v>33</v>
      </c>
      <c r="L82" s="15" t="s">
        <v>33</v>
      </c>
      <c r="M82" s="15" t="s">
        <v>33</v>
      </c>
      <c r="N82" s="15" t="s">
        <v>33</v>
      </c>
      <c r="O82" s="15" t="s">
        <v>33</v>
      </c>
      <c r="P82" s="15" t="s">
        <v>33</v>
      </c>
      <c r="Q82" s="15" t="s">
        <v>33</v>
      </c>
      <c r="R82" s="15" t="s">
        <v>33</v>
      </c>
      <c r="S82" s="15" t="s">
        <v>33</v>
      </c>
      <c r="T82" s="15" t="s">
        <v>33</v>
      </c>
      <c r="U82" s="20" t="s">
        <v>33</v>
      </c>
      <c r="V82" s="20" t="s">
        <v>33</v>
      </c>
      <c r="W82" s="20" t="s">
        <v>33</v>
      </c>
      <c r="X82" s="20" t="s">
        <v>33</v>
      </c>
      <c r="Y82" s="20" t="s">
        <v>33</v>
      </c>
      <c r="Z82" s="20" t="s">
        <v>33</v>
      </c>
      <c r="AA82" s="20" t="s">
        <v>33</v>
      </c>
      <c r="AB82" s="20" t="s">
        <v>33</v>
      </c>
      <c r="AC82" s="20" t="s">
        <v>33</v>
      </c>
      <c r="AD82" s="20" t="s">
        <v>33</v>
      </c>
      <c r="AE82" s="15" t="s">
        <v>35</v>
      </c>
      <c r="AF82" s="15" t="s">
        <v>35</v>
      </c>
      <c r="AG82" s="15" t="s">
        <v>35</v>
      </c>
      <c r="AH82" s="15">
        <f t="shared" si="3"/>
        <v>-15</v>
      </c>
      <c r="AI82" s="15"/>
      <c r="AJ82" s="15" t="s">
        <v>61</v>
      </c>
    </row>
    <row r="83" ht="15.75" customHeight="1">
      <c r="A83" s="15" t="s">
        <v>2854</v>
      </c>
      <c r="B83" s="23" t="s">
        <v>3204</v>
      </c>
      <c r="C83" s="15" t="s">
        <v>446</v>
      </c>
      <c r="D83" s="15" t="s">
        <v>3205</v>
      </c>
      <c r="E83" s="15" t="s">
        <v>2551</v>
      </c>
      <c r="F83" s="15" t="s">
        <v>3206</v>
      </c>
      <c r="G83" s="19">
        <v>46129.5625</v>
      </c>
      <c r="H83" s="19">
        <v>46129.566666666666</v>
      </c>
      <c r="I83" s="15" t="s">
        <v>33</v>
      </c>
      <c r="J83" s="15" t="s">
        <v>33</v>
      </c>
      <c r="K83" s="15" t="s">
        <v>33</v>
      </c>
      <c r="L83" s="15" t="s">
        <v>33</v>
      </c>
      <c r="M83" s="15" t="s">
        <v>33</v>
      </c>
      <c r="N83" s="15" t="s">
        <v>33</v>
      </c>
      <c r="O83" s="15" t="s">
        <v>33</v>
      </c>
      <c r="P83" s="15" t="s">
        <v>33</v>
      </c>
      <c r="Q83" s="15" t="s">
        <v>33</v>
      </c>
      <c r="R83" s="15" t="s">
        <v>33</v>
      </c>
      <c r="S83" s="15" t="s">
        <v>33</v>
      </c>
      <c r="T83" s="15" t="s">
        <v>33</v>
      </c>
      <c r="U83" s="15">
        <f>TEXT(D83-C83,"[mm]")/60</f>
        <v>0.1333333333</v>
      </c>
      <c r="V83" s="15">
        <f>TEXT(F83-E83,"[mm]")/60</f>
        <v>0.06666666667</v>
      </c>
      <c r="W83" s="15">
        <f>TEXT(H83-G83,"[mm]")/60</f>
        <v>0.1</v>
      </c>
      <c r="X83" s="20" t="s">
        <v>33</v>
      </c>
      <c r="Y83" s="20" t="s">
        <v>33</v>
      </c>
      <c r="Z83" s="20" t="s">
        <v>33</v>
      </c>
      <c r="AA83" s="20" t="s">
        <v>33</v>
      </c>
      <c r="AB83" s="20" t="s">
        <v>33</v>
      </c>
      <c r="AC83" s="20" t="s">
        <v>33</v>
      </c>
      <c r="AD83" s="15">
        <f>AVERAGE(U83:AC83)</f>
        <v>0.1</v>
      </c>
      <c r="AE83" s="15" t="s">
        <v>34</v>
      </c>
      <c r="AF83" s="15" t="s">
        <v>35</v>
      </c>
      <c r="AG83" s="15" t="s">
        <v>35</v>
      </c>
      <c r="AH83" s="15">
        <f t="shared" si="3"/>
        <v>10</v>
      </c>
      <c r="AI83" s="15"/>
      <c r="AJ83" s="15" t="s">
        <v>61</v>
      </c>
    </row>
    <row r="84" ht="15.75" customHeight="1">
      <c r="A84" s="15" t="s">
        <v>2854</v>
      </c>
      <c r="B84" s="23" t="s">
        <v>3207</v>
      </c>
      <c r="C84" s="15" t="s">
        <v>446</v>
      </c>
      <c r="D84" s="15" t="s">
        <v>33</v>
      </c>
      <c r="E84" s="15" t="s">
        <v>33</v>
      </c>
      <c r="F84" s="15" t="s">
        <v>33</v>
      </c>
      <c r="G84" s="15" t="s">
        <v>33</v>
      </c>
      <c r="H84" s="15" t="s">
        <v>33</v>
      </c>
      <c r="I84" s="15" t="s">
        <v>33</v>
      </c>
      <c r="J84" s="15" t="s">
        <v>33</v>
      </c>
      <c r="K84" s="15" t="s">
        <v>33</v>
      </c>
      <c r="L84" s="15" t="s">
        <v>33</v>
      </c>
      <c r="M84" s="15" t="s">
        <v>33</v>
      </c>
      <c r="N84" s="15" t="s">
        <v>33</v>
      </c>
      <c r="O84" s="15" t="s">
        <v>33</v>
      </c>
      <c r="P84" s="15" t="s">
        <v>33</v>
      </c>
      <c r="Q84" s="15" t="s">
        <v>33</v>
      </c>
      <c r="R84" s="15" t="s">
        <v>33</v>
      </c>
      <c r="S84" s="15" t="s">
        <v>33</v>
      </c>
      <c r="T84" s="15" t="s">
        <v>33</v>
      </c>
      <c r="U84" s="20" t="s">
        <v>33</v>
      </c>
      <c r="V84" s="20" t="s">
        <v>33</v>
      </c>
      <c r="W84" s="20" t="s">
        <v>33</v>
      </c>
      <c r="X84" s="20" t="s">
        <v>33</v>
      </c>
      <c r="Y84" s="20" t="s">
        <v>33</v>
      </c>
      <c r="Z84" s="20" t="s">
        <v>33</v>
      </c>
      <c r="AA84" s="20" t="s">
        <v>33</v>
      </c>
      <c r="AB84" s="20" t="s">
        <v>33</v>
      </c>
      <c r="AC84" s="20" t="s">
        <v>33</v>
      </c>
      <c r="AD84" s="20" t="s">
        <v>33</v>
      </c>
      <c r="AE84" s="15" t="s">
        <v>35</v>
      </c>
      <c r="AF84" s="15" t="s">
        <v>35</v>
      </c>
      <c r="AG84" s="15" t="s">
        <v>35</v>
      </c>
      <c r="AH84" s="15">
        <f t="shared" si="3"/>
        <v>-15</v>
      </c>
      <c r="AI84" s="15"/>
      <c r="AJ84" s="15" t="s">
        <v>61</v>
      </c>
    </row>
    <row r="85" ht="15.75" customHeight="1">
      <c r="A85" s="15" t="s">
        <v>2854</v>
      </c>
      <c r="B85" s="23" t="s">
        <v>3208</v>
      </c>
      <c r="C85" s="15" t="s">
        <v>3209</v>
      </c>
      <c r="D85" s="15" t="s">
        <v>3210</v>
      </c>
      <c r="E85" s="15" t="s">
        <v>3211</v>
      </c>
      <c r="F85" s="15" t="s">
        <v>33</v>
      </c>
      <c r="G85" s="15" t="s">
        <v>33</v>
      </c>
      <c r="H85" s="15" t="s">
        <v>33</v>
      </c>
      <c r="I85" s="15" t="s">
        <v>33</v>
      </c>
      <c r="J85" s="15" t="s">
        <v>33</v>
      </c>
      <c r="K85" s="15" t="s">
        <v>33</v>
      </c>
      <c r="L85" s="15" t="s">
        <v>33</v>
      </c>
      <c r="M85" s="15" t="s">
        <v>33</v>
      </c>
      <c r="N85" s="15" t="s">
        <v>33</v>
      </c>
      <c r="O85" s="15" t="s">
        <v>33</v>
      </c>
      <c r="P85" s="15" t="s">
        <v>33</v>
      </c>
      <c r="Q85" s="15" t="s">
        <v>33</v>
      </c>
      <c r="R85" s="15" t="s">
        <v>33</v>
      </c>
      <c r="S85" s="15" t="s">
        <v>33</v>
      </c>
      <c r="T85" s="15" t="s">
        <v>33</v>
      </c>
      <c r="U85" s="15">
        <f t="shared" ref="U85:U92" si="35">TEXT(D85-C85,"[mm]")/60</f>
        <v>0.25</v>
      </c>
      <c r="V85" s="20" t="s">
        <v>33</v>
      </c>
      <c r="W85" s="20" t="s">
        <v>33</v>
      </c>
      <c r="X85" s="20" t="s">
        <v>33</v>
      </c>
      <c r="Y85" s="20" t="s">
        <v>33</v>
      </c>
      <c r="Z85" s="20" t="s">
        <v>33</v>
      </c>
      <c r="AA85" s="20" t="s">
        <v>33</v>
      </c>
      <c r="AB85" s="20" t="s">
        <v>33</v>
      </c>
      <c r="AC85" s="20" t="s">
        <v>33</v>
      </c>
      <c r="AD85" s="15">
        <f t="shared" ref="AD85:AD92" si="36">AVERAGE(U85:AC85)</f>
        <v>0.25</v>
      </c>
      <c r="AE85" s="15" t="s">
        <v>34</v>
      </c>
      <c r="AF85" s="15" t="s">
        <v>35</v>
      </c>
      <c r="AG85" s="15" t="s">
        <v>35</v>
      </c>
      <c r="AH85" s="15">
        <f t="shared" si="3"/>
        <v>10</v>
      </c>
      <c r="AI85" s="15"/>
      <c r="AJ85" s="15" t="s">
        <v>61</v>
      </c>
    </row>
    <row r="86" ht="15.75" customHeight="1">
      <c r="A86" s="15" t="s">
        <v>2854</v>
      </c>
      <c r="B86" s="23" t="s">
        <v>3212</v>
      </c>
      <c r="C86" s="15" t="s">
        <v>3213</v>
      </c>
      <c r="D86" s="15" t="s">
        <v>3214</v>
      </c>
      <c r="E86" s="15" t="s">
        <v>33</v>
      </c>
      <c r="F86" s="15" t="s">
        <v>33</v>
      </c>
      <c r="G86" s="15" t="s">
        <v>33</v>
      </c>
      <c r="H86" s="15" t="s">
        <v>33</v>
      </c>
      <c r="I86" s="15" t="s">
        <v>33</v>
      </c>
      <c r="J86" s="15" t="s">
        <v>33</v>
      </c>
      <c r="K86" s="15" t="s">
        <v>33</v>
      </c>
      <c r="L86" s="15" t="s">
        <v>33</v>
      </c>
      <c r="M86" s="15" t="s">
        <v>33</v>
      </c>
      <c r="N86" s="15" t="s">
        <v>33</v>
      </c>
      <c r="O86" s="15" t="s">
        <v>33</v>
      </c>
      <c r="P86" s="15" t="s">
        <v>33</v>
      </c>
      <c r="Q86" s="15" t="s">
        <v>33</v>
      </c>
      <c r="R86" s="15" t="s">
        <v>33</v>
      </c>
      <c r="S86" s="15" t="s">
        <v>33</v>
      </c>
      <c r="T86" s="15" t="s">
        <v>33</v>
      </c>
      <c r="U86" s="15">
        <f t="shared" si="35"/>
        <v>0.4666666667</v>
      </c>
      <c r="V86" s="20" t="s">
        <v>33</v>
      </c>
      <c r="W86" s="20" t="s">
        <v>33</v>
      </c>
      <c r="X86" s="20" t="s">
        <v>33</v>
      </c>
      <c r="Y86" s="20" t="s">
        <v>33</v>
      </c>
      <c r="Z86" s="20" t="s">
        <v>33</v>
      </c>
      <c r="AA86" s="20" t="s">
        <v>33</v>
      </c>
      <c r="AB86" s="20" t="s">
        <v>33</v>
      </c>
      <c r="AC86" s="20" t="s">
        <v>33</v>
      </c>
      <c r="AD86" s="15">
        <f t="shared" si="36"/>
        <v>0.4666666667</v>
      </c>
      <c r="AE86" s="15" t="s">
        <v>34</v>
      </c>
      <c r="AF86" s="15" t="s">
        <v>35</v>
      </c>
      <c r="AG86" s="15" t="s">
        <v>35</v>
      </c>
      <c r="AH86" s="15">
        <f t="shared" si="3"/>
        <v>10</v>
      </c>
      <c r="AI86" s="15"/>
      <c r="AJ86" s="15" t="s">
        <v>61</v>
      </c>
    </row>
    <row r="87" ht="15.75" customHeight="1">
      <c r="A87" s="15" t="s">
        <v>2854</v>
      </c>
      <c r="B87" s="23" t="s">
        <v>3215</v>
      </c>
      <c r="C87" s="15" t="s">
        <v>3216</v>
      </c>
      <c r="D87" s="15" t="s">
        <v>3217</v>
      </c>
      <c r="E87" s="15" t="s">
        <v>3218</v>
      </c>
      <c r="F87" s="15" t="s">
        <v>3219</v>
      </c>
      <c r="G87" s="15" t="s">
        <v>3220</v>
      </c>
      <c r="H87" s="15" t="s">
        <v>33</v>
      </c>
      <c r="I87" s="15" t="s">
        <v>3221</v>
      </c>
      <c r="J87" s="15" t="s">
        <v>33</v>
      </c>
      <c r="K87" s="15" t="s">
        <v>33</v>
      </c>
      <c r="L87" s="15" t="s">
        <v>33</v>
      </c>
      <c r="M87" s="15" t="s">
        <v>33</v>
      </c>
      <c r="N87" s="15" t="s">
        <v>33</v>
      </c>
      <c r="O87" s="15" t="s">
        <v>33</v>
      </c>
      <c r="P87" s="15" t="s">
        <v>33</v>
      </c>
      <c r="Q87" s="15" t="s">
        <v>33</v>
      </c>
      <c r="R87" s="15" t="s">
        <v>33</v>
      </c>
      <c r="S87" s="15" t="s">
        <v>33</v>
      </c>
      <c r="T87" s="15" t="s">
        <v>33</v>
      </c>
      <c r="U87" s="15">
        <f t="shared" si="35"/>
        <v>0.1333333333</v>
      </c>
      <c r="V87" s="15">
        <f>TEXT(F87-E87,"[mm]")/60</f>
        <v>23.38333333</v>
      </c>
      <c r="W87" s="20" t="s">
        <v>33</v>
      </c>
      <c r="X87" s="20" t="s">
        <v>33</v>
      </c>
      <c r="Y87" s="20" t="s">
        <v>33</v>
      </c>
      <c r="Z87" s="20" t="s">
        <v>33</v>
      </c>
      <c r="AA87" s="20" t="s">
        <v>33</v>
      </c>
      <c r="AB87" s="20" t="s">
        <v>33</v>
      </c>
      <c r="AC87" s="20" t="s">
        <v>33</v>
      </c>
      <c r="AD87" s="15">
        <f t="shared" si="36"/>
        <v>11.75833333</v>
      </c>
      <c r="AE87" s="15" t="s">
        <v>34</v>
      </c>
      <c r="AF87" s="15" t="s">
        <v>35</v>
      </c>
      <c r="AG87" s="15" t="s">
        <v>35</v>
      </c>
      <c r="AH87" s="15">
        <f t="shared" si="3"/>
        <v>10</v>
      </c>
      <c r="AI87" s="15"/>
      <c r="AJ87" s="15" t="s">
        <v>61</v>
      </c>
    </row>
    <row r="88" ht="15.75" customHeight="1">
      <c r="A88" s="15" t="s">
        <v>2854</v>
      </c>
      <c r="B88" s="23" t="s">
        <v>3222</v>
      </c>
      <c r="C88" s="15" t="s">
        <v>3223</v>
      </c>
      <c r="D88" s="15" t="s">
        <v>3224</v>
      </c>
      <c r="E88" s="15" t="s">
        <v>33</v>
      </c>
      <c r="F88" s="15" t="s">
        <v>33</v>
      </c>
      <c r="G88" s="15" t="s">
        <v>33</v>
      </c>
      <c r="H88" s="15" t="s">
        <v>33</v>
      </c>
      <c r="I88" s="15" t="s">
        <v>33</v>
      </c>
      <c r="J88" s="15" t="s">
        <v>33</v>
      </c>
      <c r="K88" s="15" t="s">
        <v>33</v>
      </c>
      <c r="L88" s="15" t="s">
        <v>33</v>
      </c>
      <c r="M88" s="15" t="s">
        <v>33</v>
      </c>
      <c r="N88" s="15" t="s">
        <v>33</v>
      </c>
      <c r="O88" s="15" t="s">
        <v>33</v>
      </c>
      <c r="P88" s="15" t="s">
        <v>33</v>
      </c>
      <c r="Q88" s="15" t="s">
        <v>33</v>
      </c>
      <c r="R88" s="15" t="s">
        <v>33</v>
      </c>
      <c r="S88" s="15" t="s">
        <v>33</v>
      </c>
      <c r="T88" s="15" t="s">
        <v>33</v>
      </c>
      <c r="U88" s="15">
        <f t="shared" si="35"/>
        <v>0.2166666667</v>
      </c>
      <c r="V88" s="20" t="s">
        <v>33</v>
      </c>
      <c r="W88" s="20" t="s">
        <v>33</v>
      </c>
      <c r="X88" s="20" t="s">
        <v>33</v>
      </c>
      <c r="Y88" s="20" t="s">
        <v>33</v>
      </c>
      <c r="Z88" s="20" t="s">
        <v>33</v>
      </c>
      <c r="AA88" s="20" t="s">
        <v>33</v>
      </c>
      <c r="AB88" s="20" t="s">
        <v>33</v>
      </c>
      <c r="AC88" s="20" t="s">
        <v>33</v>
      </c>
      <c r="AD88" s="15">
        <f t="shared" si="36"/>
        <v>0.2166666667</v>
      </c>
      <c r="AE88" s="15" t="s">
        <v>34</v>
      </c>
      <c r="AF88" s="15" t="s">
        <v>35</v>
      </c>
      <c r="AG88" s="15" t="s">
        <v>35</v>
      </c>
      <c r="AH88" s="15">
        <f t="shared" si="3"/>
        <v>10</v>
      </c>
      <c r="AI88" s="15"/>
      <c r="AJ88" s="15" t="s">
        <v>61</v>
      </c>
    </row>
    <row r="89" ht="15.75" customHeight="1">
      <c r="A89" s="15" t="s">
        <v>2854</v>
      </c>
      <c r="B89" s="23" t="s">
        <v>3225</v>
      </c>
      <c r="C89" s="15" t="s">
        <v>3226</v>
      </c>
      <c r="D89" s="15" t="s">
        <v>3227</v>
      </c>
      <c r="E89" s="15" t="s">
        <v>3228</v>
      </c>
      <c r="F89" s="15" t="s">
        <v>33</v>
      </c>
      <c r="G89" s="15" t="s">
        <v>33</v>
      </c>
      <c r="H89" s="15" t="s">
        <v>33</v>
      </c>
      <c r="I89" s="15" t="s">
        <v>33</v>
      </c>
      <c r="J89" s="15" t="s">
        <v>33</v>
      </c>
      <c r="K89" s="15" t="s">
        <v>33</v>
      </c>
      <c r="L89" s="15" t="s">
        <v>33</v>
      </c>
      <c r="M89" s="15" t="s">
        <v>33</v>
      </c>
      <c r="N89" s="15" t="s">
        <v>33</v>
      </c>
      <c r="O89" s="15" t="s">
        <v>33</v>
      </c>
      <c r="P89" s="15" t="s">
        <v>33</v>
      </c>
      <c r="Q89" s="15" t="s">
        <v>33</v>
      </c>
      <c r="R89" s="15" t="s">
        <v>33</v>
      </c>
      <c r="S89" s="15" t="s">
        <v>33</v>
      </c>
      <c r="T89" s="15" t="s">
        <v>33</v>
      </c>
      <c r="U89" s="15">
        <f t="shared" si="35"/>
        <v>0.03333333333</v>
      </c>
      <c r="V89" s="20" t="s">
        <v>33</v>
      </c>
      <c r="W89" s="20" t="s">
        <v>33</v>
      </c>
      <c r="X89" s="20" t="s">
        <v>33</v>
      </c>
      <c r="Y89" s="20" t="s">
        <v>33</v>
      </c>
      <c r="Z89" s="20" t="s">
        <v>33</v>
      </c>
      <c r="AA89" s="20" t="s">
        <v>33</v>
      </c>
      <c r="AB89" s="20" t="s">
        <v>33</v>
      </c>
      <c r="AC89" s="20" t="s">
        <v>33</v>
      </c>
      <c r="AD89" s="15">
        <f t="shared" si="36"/>
        <v>0.03333333333</v>
      </c>
      <c r="AE89" s="15" t="s">
        <v>34</v>
      </c>
      <c r="AF89" s="15" t="s">
        <v>35</v>
      </c>
      <c r="AG89" s="15" t="s">
        <v>35</v>
      </c>
      <c r="AH89" s="15">
        <f t="shared" si="3"/>
        <v>10</v>
      </c>
      <c r="AI89" s="15"/>
      <c r="AJ89" s="15" t="s">
        <v>61</v>
      </c>
    </row>
    <row r="90" ht="15.75" customHeight="1">
      <c r="A90" s="15" t="s">
        <v>2854</v>
      </c>
      <c r="B90" s="23" t="s">
        <v>3229</v>
      </c>
      <c r="C90" s="15" t="s">
        <v>3230</v>
      </c>
      <c r="D90" s="15" t="s">
        <v>3231</v>
      </c>
      <c r="E90" s="15" t="s">
        <v>33</v>
      </c>
      <c r="F90" s="15" t="s">
        <v>33</v>
      </c>
      <c r="G90" s="15" t="s">
        <v>33</v>
      </c>
      <c r="H90" s="15" t="s">
        <v>33</v>
      </c>
      <c r="I90" s="15" t="s">
        <v>33</v>
      </c>
      <c r="J90" s="15" t="s">
        <v>33</v>
      </c>
      <c r="K90" s="15" t="s">
        <v>33</v>
      </c>
      <c r="L90" s="15" t="s">
        <v>33</v>
      </c>
      <c r="M90" s="15" t="s">
        <v>33</v>
      </c>
      <c r="N90" s="15" t="s">
        <v>33</v>
      </c>
      <c r="O90" s="15" t="s">
        <v>33</v>
      </c>
      <c r="P90" s="15" t="s">
        <v>33</v>
      </c>
      <c r="Q90" s="15" t="s">
        <v>33</v>
      </c>
      <c r="R90" s="15" t="s">
        <v>33</v>
      </c>
      <c r="S90" s="15" t="s">
        <v>33</v>
      </c>
      <c r="T90" s="15" t="s">
        <v>33</v>
      </c>
      <c r="U90" s="15">
        <f t="shared" si="35"/>
        <v>0.03333333333</v>
      </c>
      <c r="V90" s="20" t="s">
        <v>33</v>
      </c>
      <c r="W90" s="20" t="s">
        <v>33</v>
      </c>
      <c r="X90" s="20" t="s">
        <v>33</v>
      </c>
      <c r="Y90" s="20" t="s">
        <v>33</v>
      </c>
      <c r="Z90" s="20" t="s">
        <v>33</v>
      </c>
      <c r="AA90" s="20" t="s">
        <v>33</v>
      </c>
      <c r="AB90" s="20" t="s">
        <v>33</v>
      </c>
      <c r="AC90" s="20" t="s">
        <v>33</v>
      </c>
      <c r="AD90" s="15">
        <f t="shared" si="36"/>
        <v>0.03333333333</v>
      </c>
      <c r="AE90" s="15" t="s">
        <v>34</v>
      </c>
      <c r="AF90" s="15" t="s">
        <v>35</v>
      </c>
      <c r="AG90" s="15" t="s">
        <v>35</v>
      </c>
      <c r="AH90" s="15">
        <f t="shared" si="3"/>
        <v>10</v>
      </c>
      <c r="AI90" s="15"/>
      <c r="AJ90" s="15" t="s">
        <v>61</v>
      </c>
    </row>
    <row r="91" ht="15.75" customHeight="1">
      <c r="A91" s="15" t="s">
        <v>2854</v>
      </c>
      <c r="B91" s="23" t="s">
        <v>3232</v>
      </c>
      <c r="C91" s="15" t="s">
        <v>3233</v>
      </c>
      <c r="D91" s="15" t="s">
        <v>3234</v>
      </c>
      <c r="E91" s="15" t="s">
        <v>3235</v>
      </c>
      <c r="F91" s="15" t="s">
        <v>33</v>
      </c>
      <c r="G91" s="15" t="s">
        <v>33</v>
      </c>
      <c r="H91" s="15" t="s">
        <v>33</v>
      </c>
      <c r="I91" s="15" t="s">
        <v>33</v>
      </c>
      <c r="J91" s="15" t="s">
        <v>33</v>
      </c>
      <c r="K91" s="15" t="s">
        <v>33</v>
      </c>
      <c r="L91" s="15" t="s">
        <v>33</v>
      </c>
      <c r="M91" s="15" t="s">
        <v>33</v>
      </c>
      <c r="N91" s="15" t="s">
        <v>33</v>
      </c>
      <c r="O91" s="15" t="s">
        <v>33</v>
      </c>
      <c r="P91" s="15" t="s">
        <v>33</v>
      </c>
      <c r="Q91" s="15" t="s">
        <v>33</v>
      </c>
      <c r="R91" s="15" t="s">
        <v>33</v>
      </c>
      <c r="S91" s="15" t="s">
        <v>33</v>
      </c>
      <c r="T91" s="15" t="s">
        <v>33</v>
      </c>
      <c r="U91" s="15">
        <f t="shared" si="35"/>
        <v>0.6</v>
      </c>
      <c r="V91" s="20" t="s">
        <v>33</v>
      </c>
      <c r="W91" s="20" t="s">
        <v>33</v>
      </c>
      <c r="X91" s="20" t="s">
        <v>33</v>
      </c>
      <c r="Y91" s="20" t="s">
        <v>33</v>
      </c>
      <c r="Z91" s="20" t="s">
        <v>33</v>
      </c>
      <c r="AA91" s="20" t="s">
        <v>33</v>
      </c>
      <c r="AB91" s="20" t="s">
        <v>33</v>
      </c>
      <c r="AC91" s="20" t="s">
        <v>33</v>
      </c>
      <c r="AD91" s="15">
        <f t="shared" si="36"/>
        <v>0.6</v>
      </c>
      <c r="AE91" s="15" t="s">
        <v>34</v>
      </c>
      <c r="AF91" s="15" t="s">
        <v>35</v>
      </c>
      <c r="AG91" s="15" t="s">
        <v>35</v>
      </c>
      <c r="AH91" s="15">
        <f t="shared" si="3"/>
        <v>10</v>
      </c>
      <c r="AI91" s="15"/>
      <c r="AJ91" s="15" t="s">
        <v>61</v>
      </c>
    </row>
    <row r="92" ht="15.75" customHeight="1">
      <c r="A92" s="15" t="s">
        <v>2854</v>
      </c>
      <c r="B92" s="23" t="s">
        <v>3236</v>
      </c>
      <c r="C92" s="15" t="s">
        <v>3237</v>
      </c>
      <c r="D92" s="15" t="s">
        <v>3238</v>
      </c>
      <c r="E92" s="15" t="s">
        <v>33</v>
      </c>
      <c r="F92" s="15" t="s">
        <v>3239</v>
      </c>
      <c r="G92" s="15" t="s">
        <v>33</v>
      </c>
      <c r="H92" s="15" t="s">
        <v>33</v>
      </c>
      <c r="I92" s="15" t="s">
        <v>33</v>
      </c>
      <c r="J92" s="15" t="s">
        <v>33</v>
      </c>
      <c r="K92" s="15" t="s">
        <v>33</v>
      </c>
      <c r="L92" s="15" t="s">
        <v>33</v>
      </c>
      <c r="M92" s="15" t="s">
        <v>33</v>
      </c>
      <c r="N92" s="15" t="s">
        <v>33</v>
      </c>
      <c r="O92" s="15" t="s">
        <v>33</v>
      </c>
      <c r="P92" s="15" t="s">
        <v>33</v>
      </c>
      <c r="Q92" s="15" t="s">
        <v>33</v>
      </c>
      <c r="R92" s="15" t="s">
        <v>33</v>
      </c>
      <c r="S92" s="15" t="s">
        <v>33</v>
      </c>
      <c r="T92" s="15" t="s">
        <v>33</v>
      </c>
      <c r="U92" s="15">
        <f t="shared" si="35"/>
        <v>0.3166666667</v>
      </c>
      <c r="V92" s="20" t="s">
        <v>33</v>
      </c>
      <c r="W92" s="20" t="s">
        <v>33</v>
      </c>
      <c r="X92" s="20" t="s">
        <v>33</v>
      </c>
      <c r="Y92" s="20" t="s">
        <v>33</v>
      </c>
      <c r="Z92" s="20" t="s">
        <v>33</v>
      </c>
      <c r="AA92" s="20" t="s">
        <v>33</v>
      </c>
      <c r="AB92" s="20" t="s">
        <v>33</v>
      </c>
      <c r="AC92" s="20" t="s">
        <v>33</v>
      </c>
      <c r="AD92" s="15">
        <f t="shared" si="36"/>
        <v>0.3166666667</v>
      </c>
      <c r="AE92" s="15" t="s">
        <v>34</v>
      </c>
      <c r="AF92" s="15" t="s">
        <v>35</v>
      </c>
      <c r="AG92" s="15" t="s">
        <v>35</v>
      </c>
      <c r="AH92" s="15">
        <f t="shared" si="3"/>
        <v>10</v>
      </c>
      <c r="AI92" s="15"/>
      <c r="AJ92" s="15" t="s">
        <v>61</v>
      </c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>
        <f>AVERAGE(AD2:AD92)</f>
        <v>17.40648692</v>
      </c>
      <c r="AE93" s="22"/>
      <c r="AF93" s="22"/>
      <c r="AG93" s="22"/>
      <c r="AH93" s="22">
        <f>SUM(AH3:AH92)</f>
        <v>445</v>
      </c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3.0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3240</v>
      </c>
      <c r="B3" s="16" t="s">
        <v>3241</v>
      </c>
      <c r="C3" s="15" t="s">
        <v>2409</v>
      </c>
      <c r="D3" s="15" t="s">
        <v>33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20" t="s">
        <v>33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20" t="s">
        <v>33</v>
      </c>
      <c r="AE3" s="15" t="s">
        <v>35</v>
      </c>
      <c r="AF3" s="15" t="s">
        <v>35</v>
      </c>
      <c r="AG3" s="15" t="s">
        <v>35</v>
      </c>
      <c r="AH3" s="15">
        <f t="shared" ref="AH3:AH42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3240</v>
      </c>
      <c r="B4" s="16" t="s">
        <v>3242</v>
      </c>
      <c r="C4" s="15" t="s">
        <v>3243</v>
      </c>
      <c r="D4" s="15" t="s">
        <v>3244</v>
      </c>
      <c r="E4" s="15" t="s">
        <v>33</v>
      </c>
      <c r="F4" s="15" t="s">
        <v>3245</v>
      </c>
      <c r="G4" s="15" t="s">
        <v>33</v>
      </c>
      <c r="H4" s="15" t="s">
        <v>3246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ref="U4:U8" si="2">TEXT(D4-C4,"[mm]")/60</f>
        <v>0.03333333333</v>
      </c>
      <c r="V4" s="20" t="s">
        <v>33</v>
      </c>
      <c r="W4" s="20" t="s">
        <v>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ref="AD4:AD8" si="3">AVERAGE(U4:AC4)</f>
        <v>0.03333333333</v>
      </c>
      <c r="AE4" s="15" t="s">
        <v>34</v>
      </c>
      <c r="AF4" s="15" t="s">
        <v>35</v>
      </c>
      <c r="AG4" s="15" t="s">
        <v>35</v>
      </c>
      <c r="AH4" s="15">
        <f t="shared" si="1"/>
        <v>10</v>
      </c>
      <c r="AI4" s="15"/>
      <c r="AJ4" s="15" t="s">
        <v>61</v>
      </c>
    </row>
    <row r="5" ht="15.75" customHeight="1">
      <c r="A5" s="15" t="s">
        <v>3240</v>
      </c>
      <c r="B5" s="16" t="s">
        <v>3247</v>
      </c>
      <c r="C5" s="15" t="s">
        <v>581</v>
      </c>
      <c r="D5" s="15" t="s">
        <v>3248</v>
      </c>
      <c r="E5" s="15" t="s">
        <v>3249</v>
      </c>
      <c r="F5" s="15" t="s">
        <v>2895</v>
      </c>
      <c r="G5" s="15" t="s">
        <v>3250</v>
      </c>
      <c r="H5" s="15" t="s">
        <v>3251</v>
      </c>
      <c r="I5" s="15" t="s">
        <v>3252</v>
      </c>
      <c r="J5" s="15" t="s">
        <v>3253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>
        <f t="shared" si="2"/>
        <v>0.08333333333</v>
      </c>
      <c r="V5" s="15">
        <f>TEXT(F5-E5,"[mm]")/60</f>
        <v>0.03333333333</v>
      </c>
      <c r="W5" s="15">
        <f>TEXT(H5-G5,"[mm]")/60</f>
        <v>0.06666666667</v>
      </c>
      <c r="X5" s="15">
        <f>TEXT(J5-I5,"[mm]")/60</f>
        <v>36.56666667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15">
        <f t="shared" si="3"/>
        <v>9.1875</v>
      </c>
      <c r="AE5" s="15" t="s">
        <v>34</v>
      </c>
      <c r="AF5" s="15" t="s">
        <v>35</v>
      </c>
      <c r="AG5" s="15" t="s">
        <v>35</v>
      </c>
      <c r="AH5" s="15">
        <f t="shared" si="1"/>
        <v>10</v>
      </c>
      <c r="AI5" s="15"/>
      <c r="AJ5" s="15" t="s">
        <v>61</v>
      </c>
    </row>
    <row r="6" ht="15.75" customHeight="1">
      <c r="A6" s="15" t="s">
        <v>3240</v>
      </c>
      <c r="B6" s="16" t="s">
        <v>3254</v>
      </c>
      <c r="C6" s="15" t="s">
        <v>3255</v>
      </c>
      <c r="D6" s="15" t="s">
        <v>3256</v>
      </c>
      <c r="E6" s="15" t="s">
        <v>33</v>
      </c>
      <c r="F6" s="15" t="s">
        <v>3257</v>
      </c>
      <c r="G6" s="15" t="s">
        <v>33</v>
      </c>
      <c r="H6" s="15" t="s">
        <v>3258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si="2"/>
        <v>0.25</v>
      </c>
      <c r="V6" s="20" t="s">
        <v>33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si="3"/>
        <v>0.25</v>
      </c>
      <c r="AE6" s="15" t="s">
        <v>34</v>
      </c>
      <c r="AF6" s="15" t="s">
        <v>35</v>
      </c>
      <c r="AG6" s="15" t="s">
        <v>35</v>
      </c>
      <c r="AH6" s="15">
        <f t="shared" si="1"/>
        <v>10</v>
      </c>
      <c r="AI6" s="15"/>
      <c r="AJ6" s="15" t="s">
        <v>61</v>
      </c>
    </row>
    <row r="7" ht="15.75" customHeight="1">
      <c r="A7" s="15" t="s">
        <v>3240</v>
      </c>
      <c r="B7" s="16" t="s">
        <v>3259</v>
      </c>
      <c r="C7" s="15" t="s">
        <v>3260</v>
      </c>
      <c r="D7" s="15" t="s">
        <v>3261</v>
      </c>
      <c r="E7" s="15" t="s">
        <v>3261</v>
      </c>
      <c r="F7" s="15" t="s">
        <v>3262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2"/>
        <v>0.03333333333</v>
      </c>
      <c r="V7" s="15">
        <f>TEXT(F7-E7,"[mm]")/60</f>
        <v>6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3"/>
        <v>3.016666667</v>
      </c>
      <c r="AE7" s="15" t="s">
        <v>34</v>
      </c>
      <c r="AF7" s="15" t="s">
        <v>35</v>
      </c>
      <c r="AG7" s="15" t="s">
        <v>35</v>
      </c>
      <c r="AH7" s="15">
        <f t="shared" si="1"/>
        <v>10</v>
      </c>
      <c r="AI7" s="15"/>
      <c r="AJ7" s="15" t="s">
        <v>61</v>
      </c>
    </row>
    <row r="8" ht="15.75" customHeight="1">
      <c r="A8" s="15" t="s">
        <v>3240</v>
      </c>
      <c r="B8" s="16" t="s">
        <v>3263</v>
      </c>
      <c r="C8" s="15" t="s">
        <v>3264</v>
      </c>
      <c r="D8" s="15" t="s">
        <v>3265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2"/>
        <v>0.05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3"/>
        <v>0.05</v>
      </c>
      <c r="AE8" s="15" t="s">
        <v>34</v>
      </c>
      <c r="AF8" s="15" t="s">
        <v>35</v>
      </c>
      <c r="AG8" s="15" t="s">
        <v>35</v>
      </c>
      <c r="AH8" s="15">
        <f t="shared" si="1"/>
        <v>10</v>
      </c>
      <c r="AI8" s="15"/>
      <c r="AJ8" s="15" t="s">
        <v>61</v>
      </c>
    </row>
    <row r="9" ht="15.75" customHeight="1">
      <c r="A9" s="15" t="s">
        <v>3240</v>
      </c>
      <c r="B9" s="16" t="s">
        <v>3266</v>
      </c>
      <c r="C9" s="15" t="s">
        <v>3267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3240</v>
      </c>
      <c r="B10" s="16" t="s">
        <v>3268</v>
      </c>
      <c r="C10" s="15" t="s">
        <v>3269</v>
      </c>
      <c r="D10" s="15" t="s">
        <v>3270</v>
      </c>
      <c r="E10" s="15" t="s">
        <v>1321</v>
      </c>
      <c r="F10" s="15" t="s">
        <v>33</v>
      </c>
      <c r="G10" s="15" t="s">
        <v>3271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>
        <f t="shared" ref="U10:U12" si="4">TEXT(D10-C10,"[mm]")/60</f>
        <v>0.1833333333</v>
      </c>
      <c r="V10" s="20" t="s">
        <v>33</v>
      </c>
      <c r="W10" s="20" t="s">
        <v>33</v>
      </c>
      <c r="X10" s="20" t="s">
        <v>33</v>
      </c>
      <c r="Y10" s="20" t="s">
        <v>33</v>
      </c>
      <c r="Z10" s="20" t="s">
        <v>33</v>
      </c>
      <c r="AA10" s="20" t="s">
        <v>33</v>
      </c>
      <c r="AB10" s="20" t="s">
        <v>33</v>
      </c>
      <c r="AC10" s="20" t="s">
        <v>33</v>
      </c>
      <c r="AD10" s="15">
        <f t="shared" ref="AD10:AD12" si="5">AVERAGE(U10:AC10)</f>
        <v>0.1833333333</v>
      </c>
      <c r="AE10" s="15" t="s">
        <v>34</v>
      </c>
      <c r="AF10" s="15" t="s">
        <v>35</v>
      </c>
      <c r="AG10" s="15" t="s">
        <v>35</v>
      </c>
      <c r="AH10" s="15">
        <f t="shared" si="1"/>
        <v>10</v>
      </c>
      <c r="AI10" s="15"/>
      <c r="AJ10" s="15" t="s">
        <v>61</v>
      </c>
    </row>
    <row r="11" ht="15.75" customHeight="1">
      <c r="A11" s="15" t="s">
        <v>3240</v>
      </c>
      <c r="B11" s="16" t="s">
        <v>3272</v>
      </c>
      <c r="C11" s="15" t="s">
        <v>3273</v>
      </c>
      <c r="D11" s="15" t="s">
        <v>3274</v>
      </c>
      <c r="E11" s="15" t="s">
        <v>3275</v>
      </c>
      <c r="F11" s="15" t="s">
        <v>3276</v>
      </c>
      <c r="G11" s="15" t="s">
        <v>33</v>
      </c>
      <c r="H11" s="15" t="s">
        <v>3277</v>
      </c>
      <c r="I11" s="15" t="s">
        <v>33</v>
      </c>
      <c r="J11" s="15" t="s">
        <v>3278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>
        <f t="shared" si="4"/>
        <v>0.05</v>
      </c>
      <c r="V11" s="15">
        <f t="shared" ref="V11:V12" si="6">TEXT(F11-E11,"[mm]")/60</f>
        <v>0.03333333333</v>
      </c>
      <c r="W11" s="20" t="s">
        <v>33</v>
      </c>
      <c r="X11" s="20" t="s">
        <v>33</v>
      </c>
      <c r="Y11" s="20" t="s">
        <v>33</v>
      </c>
      <c r="Z11" s="20" t="s">
        <v>33</v>
      </c>
      <c r="AA11" s="20" t="s">
        <v>33</v>
      </c>
      <c r="AB11" s="20" t="s">
        <v>33</v>
      </c>
      <c r="AC11" s="20" t="s">
        <v>33</v>
      </c>
      <c r="AD11" s="15">
        <f t="shared" si="5"/>
        <v>0.04166666667</v>
      </c>
      <c r="AE11" s="15" t="s">
        <v>34</v>
      </c>
      <c r="AF11" s="15" t="s">
        <v>35</v>
      </c>
      <c r="AG11" s="15" t="s">
        <v>35</v>
      </c>
      <c r="AH11" s="15">
        <f t="shared" si="1"/>
        <v>10</v>
      </c>
      <c r="AI11" s="15"/>
      <c r="AJ11" s="15" t="s">
        <v>61</v>
      </c>
    </row>
    <row r="12" ht="15.75" customHeight="1">
      <c r="A12" s="15" t="s">
        <v>3240</v>
      </c>
      <c r="B12" s="16" t="s">
        <v>3279</v>
      </c>
      <c r="C12" s="15" t="s">
        <v>3280</v>
      </c>
      <c r="D12" s="15" t="s">
        <v>3281</v>
      </c>
      <c r="E12" s="15" t="s">
        <v>3282</v>
      </c>
      <c r="F12" s="15" t="s">
        <v>3283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>
        <f t="shared" si="4"/>
        <v>0.03333333333</v>
      </c>
      <c r="V12" s="15">
        <f t="shared" si="6"/>
        <v>0.03333333333</v>
      </c>
      <c r="W12" s="20" t="s">
        <v>33</v>
      </c>
      <c r="X12" s="20" t="s">
        <v>33</v>
      </c>
      <c r="Y12" s="20" t="s">
        <v>33</v>
      </c>
      <c r="Z12" s="20" t="s">
        <v>33</v>
      </c>
      <c r="AA12" s="20" t="s">
        <v>33</v>
      </c>
      <c r="AB12" s="20" t="s">
        <v>33</v>
      </c>
      <c r="AC12" s="20" t="s">
        <v>33</v>
      </c>
      <c r="AD12" s="15">
        <f t="shared" si="5"/>
        <v>0.03333333333</v>
      </c>
      <c r="AE12" s="15" t="s">
        <v>34</v>
      </c>
      <c r="AF12" s="15" t="s">
        <v>35</v>
      </c>
      <c r="AG12" s="15" t="s">
        <v>35</v>
      </c>
      <c r="AH12" s="15">
        <f t="shared" si="1"/>
        <v>10</v>
      </c>
      <c r="AI12" s="15"/>
      <c r="AJ12" s="15" t="s">
        <v>61</v>
      </c>
    </row>
    <row r="13" ht="15.75" customHeight="1">
      <c r="A13" s="15" t="s">
        <v>3240</v>
      </c>
      <c r="B13" s="16" t="s">
        <v>3284</v>
      </c>
      <c r="C13" s="15" t="s">
        <v>3285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20" t="s">
        <v>33</v>
      </c>
      <c r="V13" s="20" t="s">
        <v>33</v>
      </c>
      <c r="W13" s="20" t="s">
        <v>33</v>
      </c>
      <c r="X13" s="20" t="s">
        <v>33</v>
      </c>
      <c r="Y13" s="20" t="s">
        <v>33</v>
      </c>
      <c r="Z13" s="20" t="s">
        <v>33</v>
      </c>
      <c r="AA13" s="20" t="s">
        <v>33</v>
      </c>
      <c r="AB13" s="20" t="s">
        <v>33</v>
      </c>
      <c r="AC13" s="20" t="s">
        <v>33</v>
      </c>
      <c r="AD13" s="20" t="s">
        <v>33</v>
      </c>
      <c r="AE13" s="15" t="s">
        <v>35</v>
      </c>
      <c r="AF13" s="15" t="s">
        <v>35</v>
      </c>
      <c r="AG13" s="15" t="s">
        <v>35</v>
      </c>
      <c r="AH13" s="15">
        <f t="shared" si="1"/>
        <v>-15</v>
      </c>
      <c r="AI13" s="15"/>
      <c r="AJ13" s="15" t="s">
        <v>61</v>
      </c>
    </row>
    <row r="14" ht="15.75" customHeight="1">
      <c r="A14" s="15" t="s">
        <v>3240</v>
      </c>
      <c r="B14" s="16" t="s">
        <v>3286</v>
      </c>
      <c r="C14" s="15" t="s">
        <v>3287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20" t="s">
        <v>33</v>
      </c>
      <c r="V14" s="20" t="s">
        <v>33</v>
      </c>
      <c r="W14" s="20" t="s">
        <v>33</v>
      </c>
      <c r="X14" s="20" t="s">
        <v>33</v>
      </c>
      <c r="Y14" s="20" t="s">
        <v>33</v>
      </c>
      <c r="Z14" s="20" t="s">
        <v>33</v>
      </c>
      <c r="AA14" s="20" t="s">
        <v>33</v>
      </c>
      <c r="AB14" s="20" t="s">
        <v>33</v>
      </c>
      <c r="AC14" s="20" t="s">
        <v>33</v>
      </c>
      <c r="AD14" s="20" t="s">
        <v>33</v>
      </c>
      <c r="AE14" s="15" t="s">
        <v>35</v>
      </c>
      <c r="AF14" s="15" t="s">
        <v>35</v>
      </c>
      <c r="AG14" s="15" t="s">
        <v>35</v>
      </c>
      <c r="AH14" s="15">
        <f t="shared" si="1"/>
        <v>-15</v>
      </c>
      <c r="AI14" s="15"/>
      <c r="AJ14" s="15" t="s">
        <v>61</v>
      </c>
    </row>
    <row r="15" ht="15.75" customHeight="1">
      <c r="A15" s="15" t="s">
        <v>3240</v>
      </c>
      <c r="B15" s="16" t="s">
        <v>3288</v>
      </c>
      <c r="C15" s="15" t="s">
        <v>3289</v>
      </c>
      <c r="D15" s="15" t="s">
        <v>1369</v>
      </c>
      <c r="E15" s="15" t="s">
        <v>33</v>
      </c>
      <c r="F15" s="15" t="s">
        <v>3290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>
        <f t="shared" ref="U15:U17" si="7">TEXT(D15-C15,"[mm]")/60</f>
        <v>0.03333333333</v>
      </c>
      <c r="V15" s="20" t="s">
        <v>33</v>
      </c>
      <c r="W15" s="20" t="s">
        <v>33</v>
      </c>
      <c r="X15" s="20" t="s">
        <v>33</v>
      </c>
      <c r="Y15" s="20" t="s">
        <v>33</v>
      </c>
      <c r="Z15" s="20" t="s">
        <v>33</v>
      </c>
      <c r="AA15" s="20" t="s">
        <v>33</v>
      </c>
      <c r="AB15" s="20" t="s">
        <v>33</v>
      </c>
      <c r="AC15" s="20" t="s">
        <v>33</v>
      </c>
      <c r="AD15" s="15">
        <f t="shared" ref="AD15:AD17" si="8">AVERAGE(U15:AC15)</f>
        <v>0.03333333333</v>
      </c>
      <c r="AE15" s="15" t="s">
        <v>34</v>
      </c>
      <c r="AF15" s="15" t="s">
        <v>35</v>
      </c>
      <c r="AG15" s="15" t="s">
        <v>35</v>
      </c>
      <c r="AH15" s="15">
        <f t="shared" si="1"/>
        <v>10</v>
      </c>
      <c r="AI15" s="15"/>
      <c r="AJ15" s="15" t="s">
        <v>61</v>
      </c>
    </row>
    <row r="16" ht="15.75" customHeight="1">
      <c r="A16" s="15" t="s">
        <v>3240</v>
      </c>
      <c r="B16" s="16" t="s">
        <v>3291</v>
      </c>
      <c r="C16" s="15" t="s">
        <v>3292</v>
      </c>
      <c r="D16" s="15" t="s">
        <v>3293</v>
      </c>
      <c r="E16" s="19">
        <v>46134.07013888889</v>
      </c>
      <c r="F16" s="19">
        <v>46134.31597222222</v>
      </c>
      <c r="G16" s="19">
        <v>46134.33541666667</v>
      </c>
      <c r="H16" s="19">
        <v>46134.61388888889</v>
      </c>
      <c r="I16" s="19">
        <v>46134.58541666667</v>
      </c>
      <c r="J16" s="19">
        <v>46134.614583333336</v>
      </c>
      <c r="K16" s="15" t="s">
        <v>3294</v>
      </c>
      <c r="L16" s="15" t="s">
        <v>33</v>
      </c>
      <c r="M16" s="15" t="s">
        <v>3295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>
        <f t="shared" si="7"/>
        <v>0.06666666667</v>
      </c>
      <c r="V16" s="15">
        <f t="shared" ref="V16:V17" si="9">TEXT(F16-E16,"[mm]")/60</f>
        <v>5.9</v>
      </c>
      <c r="W16" s="15">
        <f t="shared" ref="W16:W17" si="10">TEXT(H16-G16,"[mm]")/60</f>
        <v>6.683333333</v>
      </c>
      <c r="X16" s="15">
        <f>TEXT(J16-I16,"[mm]")/60</f>
        <v>0.7</v>
      </c>
      <c r="Y16" s="20" t="s">
        <v>33</v>
      </c>
      <c r="Z16" s="20" t="s">
        <v>33</v>
      </c>
      <c r="AA16" s="20" t="s">
        <v>33</v>
      </c>
      <c r="AB16" s="20" t="s">
        <v>33</v>
      </c>
      <c r="AC16" s="20" t="s">
        <v>33</v>
      </c>
      <c r="AD16" s="15">
        <f t="shared" si="8"/>
        <v>3.3375</v>
      </c>
      <c r="AE16" s="15" t="s">
        <v>34</v>
      </c>
      <c r="AF16" s="15" t="s">
        <v>35</v>
      </c>
      <c r="AG16" s="15" t="s">
        <v>35</v>
      </c>
      <c r="AH16" s="15">
        <f t="shared" si="1"/>
        <v>10</v>
      </c>
      <c r="AI16" s="15"/>
      <c r="AJ16" s="15" t="s">
        <v>61</v>
      </c>
    </row>
    <row r="17" ht="15.75" customHeight="1">
      <c r="A17" s="15" t="s">
        <v>3240</v>
      </c>
      <c r="B17" s="16" t="s">
        <v>3296</v>
      </c>
      <c r="C17" s="15" t="s">
        <v>3297</v>
      </c>
      <c r="D17" s="15" t="s">
        <v>3298</v>
      </c>
      <c r="E17" s="15" t="s">
        <v>3299</v>
      </c>
      <c r="F17" s="15" t="s">
        <v>3300</v>
      </c>
      <c r="G17" s="19">
        <v>46133.69513888889</v>
      </c>
      <c r="H17" s="19">
        <v>46133.74375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>
        <f t="shared" si="7"/>
        <v>0.05</v>
      </c>
      <c r="V17" s="15">
        <f t="shared" si="9"/>
        <v>0.2166666667</v>
      </c>
      <c r="W17" s="15">
        <f t="shared" si="10"/>
        <v>1.166666667</v>
      </c>
      <c r="X17" s="20" t="s">
        <v>33</v>
      </c>
      <c r="Y17" s="20" t="s">
        <v>33</v>
      </c>
      <c r="Z17" s="20" t="s">
        <v>33</v>
      </c>
      <c r="AA17" s="20" t="s">
        <v>33</v>
      </c>
      <c r="AB17" s="20" t="s">
        <v>33</v>
      </c>
      <c r="AC17" s="20" t="s">
        <v>33</v>
      </c>
      <c r="AD17" s="15">
        <f t="shared" si="8"/>
        <v>0.4777777778</v>
      </c>
      <c r="AE17" s="15" t="s">
        <v>34</v>
      </c>
      <c r="AF17" s="15" t="s">
        <v>35</v>
      </c>
      <c r="AG17" s="15" t="s">
        <v>35</v>
      </c>
      <c r="AH17" s="15">
        <f t="shared" si="1"/>
        <v>10</v>
      </c>
      <c r="AI17" s="15"/>
      <c r="AJ17" s="15" t="s">
        <v>61</v>
      </c>
    </row>
    <row r="18" ht="15.75" customHeight="1">
      <c r="A18" s="15" t="s">
        <v>3240</v>
      </c>
      <c r="B18" s="16" t="s">
        <v>3301</v>
      </c>
      <c r="C18" s="15" t="s">
        <v>3302</v>
      </c>
      <c r="D18" s="15" t="s">
        <v>33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20" t="s">
        <v>33</v>
      </c>
      <c r="V18" s="20" t="s">
        <v>33</v>
      </c>
      <c r="W18" s="20" t="s">
        <v>33</v>
      </c>
      <c r="X18" s="20" t="s">
        <v>33</v>
      </c>
      <c r="Y18" s="20" t="s">
        <v>33</v>
      </c>
      <c r="Z18" s="20" t="s">
        <v>33</v>
      </c>
      <c r="AA18" s="20" t="s">
        <v>33</v>
      </c>
      <c r="AB18" s="20" t="s">
        <v>33</v>
      </c>
      <c r="AC18" s="20" t="s">
        <v>33</v>
      </c>
      <c r="AD18" s="20" t="s">
        <v>33</v>
      </c>
      <c r="AE18" s="15" t="s">
        <v>35</v>
      </c>
      <c r="AF18" s="15" t="s">
        <v>35</v>
      </c>
      <c r="AG18" s="15" t="s">
        <v>35</v>
      </c>
      <c r="AH18" s="15">
        <f t="shared" si="1"/>
        <v>-15</v>
      </c>
      <c r="AI18" s="15"/>
      <c r="AJ18" s="15" t="s">
        <v>61</v>
      </c>
    </row>
    <row r="19" ht="15.75" customHeight="1">
      <c r="A19" s="15" t="s">
        <v>3240</v>
      </c>
      <c r="B19" s="16" t="s">
        <v>3303</v>
      </c>
      <c r="C19" s="15" t="s">
        <v>3304</v>
      </c>
      <c r="D19" s="15" t="s">
        <v>3305</v>
      </c>
      <c r="E19" s="15" t="s">
        <v>3306</v>
      </c>
      <c r="F19" s="15" t="s">
        <v>3307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>
        <f t="shared" ref="U19:U20" si="11">TEXT(D19-C19,"[mm]")/60</f>
        <v>0.1</v>
      </c>
      <c r="V19" s="15">
        <f>TEXT(F19-E19,"[mm]")/60</f>
        <v>0.06666666667</v>
      </c>
      <c r="W19" s="20" t="s">
        <v>33</v>
      </c>
      <c r="X19" s="20" t="s">
        <v>33</v>
      </c>
      <c r="Y19" s="20" t="s">
        <v>33</v>
      </c>
      <c r="Z19" s="20" t="s">
        <v>33</v>
      </c>
      <c r="AA19" s="20" t="s">
        <v>33</v>
      </c>
      <c r="AB19" s="20" t="s">
        <v>33</v>
      </c>
      <c r="AC19" s="20" t="s">
        <v>33</v>
      </c>
      <c r="AD19" s="15">
        <f t="shared" ref="AD19:AD20" si="12">AVERAGE(U19:AC19)</f>
        <v>0.08333333333</v>
      </c>
      <c r="AE19" s="15" t="s">
        <v>34</v>
      </c>
      <c r="AF19" s="15" t="s">
        <v>35</v>
      </c>
      <c r="AG19" s="15" t="s">
        <v>35</v>
      </c>
      <c r="AH19" s="15">
        <f t="shared" si="1"/>
        <v>10</v>
      </c>
      <c r="AI19" s="15"/>
      <c r="AJ19" s="15" t="s">
        <v>61</v>
      </c>
    </row>
    <row r="20" ht="15.75" customHeight="1">
      <c r="A20" s="15" t="s">
        <v>3240</v>
      </c>
      <c r="B20" s="16" t="s">
        <v>3308</v>
      </c>
      <c r="C20" s="15" t="s">
        <v>3309</v>
      </c>
      <c r="D20" s="15" t="s">
        <v>3310</v>
      </c>
      <c r="E20" s="15" t="s">
        <v>3311</v>
      </c>
      <c r="F20" s="15" t="s">
        <v>33</v>
      </c>
      <c r="G20" s="15" t="s">
        <v>3312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>
        <f t="shared" si="11"/>
        <v>0.05</v>
      </c>
      <c r="V20" s="20" t="s">
        <v>33</v>
      </c>
      <c r="W20" s="20" t="s">
        <v>33</v>
      </c>
      <c r="X20" s="20" t="s">
        <v>33</v>
      </c>
      <c r="Y20" s="20" t="s">
        <v>33</v>
      </c>
      <c r="Z20" s="20" t="s">
        <v>33</v>
      </c>
      <c r="AA20" s="20" t="s">
        <v>33</v>
      </c>
      <c r="AB20" s="20" t="s">
        <v>33</v>
      </c>
      <c r="AC20" s="20" t="s">
        <v>33</v>
      </c>
      <c r="AD20" s="15">
        <f t="shared" si="12"/>
        <v>0.05</v>
      </c>
      <c r="AE20" s="15" t="s">
        <v>34</v>
      </c>
      <c r="AF20" s="15" t="s">
        <v>35</v>
      </c>
      <c r="AG20" s="15" t="s">
        <v>35</v>
      </c>
      <c r="AH20" s="15">
        <f t="shared" si="1"/>
        <v>10</v>
      </c>
      <c r="AI20" s="15"/>
      <c r="AJ20" s="15" t="s">
        <v>61</v>
      </c>
    </row>
    <row r="21" ht="15.75" customHeight="1">
      <c r="A21" s="15" t="s">
        <v>3240</v>
      </c>
      <c r="B21" s="16" t="s">
        <v>3313</v>
      </c>
      <c r="C21" s="15" t="s">
        <v>2483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20" t="s">
        <v>33</v>
      </c>
      <c r="V21" s="20" t="s">
        <v>33</v>
      </c>
      <c r="W21" s="20" t="s">
        <v>33</v>
      </c>
      <c r="X21" s="20" t="s">
        <v>33</v>
      </c>
      <c r="Y21" s="20" t="s">
        <v>33</v>
      </c>
      <c r="Z21" s="20" t="s">
        <v>33</v>
      </c>
      <c r="AA21" s="20" t="s">
        <v>33</v>
      </c>
      <c r="AB21" s="20" t="s">
        <v>33</v>
      </c>
      <c r="AC21" s="20" t="s">
        <v>33</v>
      </c>
      <c r="AD21" s="20" t="s">
        <v>33</v>
      </c>
      <c r="AE21" s="15" t="s">
        <v>35</v>
      </c>
      <c r="AF21" s="15" t="s">
        <v>35</v>
      </c>
      <c r="AG21" s="15" t="s">
        <v>35</v>
      </c>
      <c r="AH21" s="15">
        <f t="shared" si="1"/>
        <v>-15</v>
      </c>
      <c r="AI21" s="15"/>
      <c r="AJ21" s="15" t="s">
        <v>61</v>
      </c>
    </row>
    <row r="22" ht="15.75" customHeight="1">
      <c r="A22" s="15" t="s">
        <v>3240</v>
      </c>
      <c r="B22" s="16" t="s">
        <v>3314</v>
      </c>
      <c r="C22" s="15" t="s">
        <v>3315</v>
      </c>
      <c r="D22" s="15" t="s">
        <v>3316</v>
      </c>
      <c r="E22" s="15" t="s">
        <v>33</v>
      </c>
      <c r="F22" s="15" t="s">
        <v>2480</v>
      </c>
      <c r="G22" s="15" t="s">
        <v>33</v>
      </c>
      <c r="H22" s="15" t="s">
        <v>3317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>
        <f>TEXT(D22-C22,"[mm]")/60</f>
        <v>0.06666666667</v>
      </c>
      <c r="V22" s="20" t="s">
        <v>33</v>
      </c>
      <c r="W22" s="20" t="s">
        <v>33</v>
      </c>
      <c r="X22" s="20" t="s">
        <v>33</v>
      </c>
      <c r="Y22" s="20" t="s">
        <v>33</v>
      </c>
      <c r="Z22" s="20" t="s">
        <v>33</v>
      </c>
      <c r="AA22" s="20" t="s">
        <v>33</v>
      </c>
      <c r="AB22" s="20" t="s">
        <v>33</v>
      </c>
      <c r="AC22" s="20" t="s">
        <v>33</v>
      </c>
      <c r="AD22" s="15">
        <f>AVERAGE(U22:AC22)</f>
        <v>0.06666666667</v>
      </c>
      <c r="AE22" s="15" t="s">
        <v>34</v>
      </c>
      <c r="AF22" s="15" t="s">
        <v>35</v>
      </c>
      <c r="AG22" s="15" t="s">
        <v>35</v>
      </c>
      <c r="AH22" s="15">
        <f t="shared" si="1"/>
        <v>10</v>
      </c>
      <c r="AI22" s="15"/>
      <c r="AJ22" s="15" t="s">
        <v>61</v>
      </c>
    </row>
    <row r="23" ht="15.75" customHeight="1">
      <c r="A23" s="15" t="s">
        <v>3240</v>
      </c>
      <c r="B23" s="16" t="s">
        <v>3318</v>
      </c>
      <c r="C23" s="15" t="s">
        <v>3319</v>
      </c>
      <c r="D23" s="15" t="s">
        <v>33</v>
      </c>
      <c r="E23" s="15" t="s">
        <v>3320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20" t="s">
        <v>33</v>
      </c>
      <c r="V23" s="20" t="s">
        <v>33</v>
      </c>
      <c r="W23" s="20" t="s">
        <v>33</v>
      </c>
      <c r="X23" s="20" t="s">
        <v>33</v>
      </c>
      <c r="Y23" s="20" t="s">
        <v>33</v>
      </c>
      <c r="Z23" s="20" t="s">
        <v>33</v>
      </c>
      <c r="AA23" s="20" t="s">
        <v>33</v>
      </c>
      <c r="AB23" s="20" t="s">
        <v>33</v>
      </c>
      <c r="AC23" s="20" t="s">
        <v>33</v>
      </c>
      <c r="AD23" s="20" t="s">
        <v>33</v>
      </c>
      <c r="AE23" s="15" t="s">
        <v>35</v>
      </c>
      <c r="AF23" s="15" t="s">
        <v>35</v>
      </c>
      <c r="AG23" s="15" t="s">
        <v>35</v>
      </c>
      <c r="AH23" s="15">
        <f t="shared" si="1"/>
        <v>-15</v>
      </c>
      <c r="AI23" s="15"/>
      <c r="AJ23" s="15" t="s">
        <v>61</v>
      </c>
    </row>
    <row r="24" ht="15.75" customHeight="1">
      <c r="A24" s="15" t="s">
        <v>3240</v>
      </c>
      <c r="B24" s="16" t="s">
        <v>3321</v>
      </c>
      <c r="C24" s="15" t="s">
        <v>3322</v>
      </c>
      <c r="D24" s="15" t="s">
        <v>33</v>
      </c>
      <c r="E24" s="15" t="s">
        <v>33</v>
      </c>
      <c r="F24" s="15" t="s">
        <v>33</v>
      </c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15" t="s">
        <v>33</v>
      </c>
      <c r="M24" s="15" t="s">
        <v>33</v>
      </c>
      <c r="N24" s="15" t="s">
        <v>33</v>
      </c>
      <c r="O24" s="15" t="s">
        <v>33</v>
      </c>
      <c r="P24" s="15" t="s">
        <v>33</v>
      </c>
      <c r="Q24" s="15" t="s">
        <v>33</v>
      </c>
      <c r="R24" s="15" t="s">
        <v>33</v>
      </c>
      <c r="S24" s="15" t="s">
        <v>33</v>
      </c>
      <c r="T24" s="15" t="s">
        <v>33</v>
      </c>
      <c r="U24" s="20" t="s">
        <v>33</v>
      </c>
      <c r="V24" s="20" t="s">
        <v>33</v>
      </c>
      <c r="W24" s="20" t="s">
        <v>33</v>
      </c>
      <c r="X24" s="20" t="s">
        <v>33</v>
      </c>
      <c r="Y24" s="20" t="s">
        <v>33</v>
      </c>
      <c r="Z24" s="20" t="s">
        <v>33</v>
      </c>
      <c r="AA24" s="20" t="s">
        <v>33</v>
      </c>
      <c r="AB24" s="20" t="s">
        <v>33</v>
      </c>
      <c r="AC24" s="20" t="s">
        <v>33</v>
      </c>
      <c r="AD24" s="20" t="s">
        <v>33</v>
      </c>
      <c r="AE24" s="15" t="s">
        <v>35</v>
      </c>
      <c r="AF24" s="15" t="s">
        <v>35</v>
      </c>
      <c r="AG24" s="15" t="s">
        <v>35</v>
      </c>
      <c r="AH24" s="15">
        <f t="shared" si="1"/>
        <v>-15</v>
      </c>
      <c r="AI24" s="15"/>
      <c r="AJ24" s="15" t="s">
        <v>61</v>
      </c>
    </row>
    <row r="25" ht="15.75" customHeight="1">
      <c r="A25" s="15" t="s">
        <v>3240</v>
      </c>
      <c r="B25" s="16" t="s">
        <v>3323</v>
      </c>
      <c r="C25" s="15" t="s">
        <v>3324</v>
      </c>
      <c r="D25" s="15" t="s">
        <v>3325</v>
      </c>
      <c r="E25" s="15" t="s">
        <v>33</v>
      </c>
      <c r="F25" s="15" t="s">
        <v>33</v>
      </c>
      <c r="G25" s="15" t="s">
        <v>33</v>
      </c>
      <c r="H25" s="15" t="s">
        <v>33</v>
      </c>
      <c r="I25" s="15" t="s">
        <v>33</v>
      </c>
      <c r="J25" s="15" t="s">
        <v>33</v>
      </c>
      <c r="K25" s="15" t="s">
        <v>33</v>
      </c>
      <c r="L25" s="15" t="s">
        <v>33</v>
      </c>
      <c r="M25" s="15" t="s">
        <v>33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  <c r="U25" s="15">
        <f t="shared" ref="U25:U27" si="13">TEXT(D25-C25,"[mm]")/60</f>
        <v>0.05</v>
      </c>
      <c r="V25" s="20" t="s">
        <v>33</v>
      </c>
      <c r="W25" s="20" t="s">
        <v>33</v>
      </c>
      <c r="X25" s="20" t="s">
        <v>33</v>
      </c>
      <c r="Y25" s="20" t="s">
        <v>33</v>
      </c>
      <c r="Z25" s="20" t="s">
        <v>33</v>
      </c>
      <c r="AA25" s="20" t="s">
        <v>33</v>
      </c>
      <c r="AB25" s="20" t="s">
        <v>33</v>
      </c>
      <c r="AC25" s="20" t="s">
        <v>33</v>
      </c>
      <c r="AD25" s="15">
        <f t="shared" ref="AD25:AD27" si="14">AVERAGE(U25:AC25)</f>
        <v>0.05</v>
      </c>
      <c r="AE25" s="15" t="s">
        <v>34</v>
      </c>
      <c r="AF25" s="15" t="s">
        <v>35</v>
      </c>
      <c r="AG25" s="15" t="s">
        <v>35</v>
      </c>
      <c r="AH25" s="15">
        <f t="shared" si="1"/>
        <v>10</v>
      </c>
      <c r="AI25" s="15"/>
      <c r="AJ25" s="15" t="s">
        <v>61</v>
      </c>
    </row>
    <row r="26" ht="15.75" customHeight="1">
      <c r="A26" s="15" t="s">
        <v>3240</v>
      </c>
      <c r="B26" s="16" t="s">
        <v>3326</v>
      </c>
      <c r="C26" s="15" t="s">
        <v>3327</v>
      </c>
      <c r="D26" s="15" t="s">
        <v>3328</v>
      </c>
      <c r="E26" s="15" t="s">
        <v>3329</v>
      </c>
      <c r="F26" s="15" t="s">
        <v>33</v>
      </c>
      <c r="G26" s="15" t="s">
        <v>3330</v>
      </c>
      <c r="H26" s="15" t="s">
        <v>33</v>
      </c>
      <c r="I26" s="15" t="s">
        <v>33</v>
      </c>
      <c r="J26" s="15" t="s">
        <v>33</v>
      </c>
      <c r="K26" s="15" t="s">
        <v>33</v>
      </c>
      <c r="L26" s="15" t="s">
        <v>33</v>
      </c>
      <c r="M26" s="15" t="s">
        <v>33</v>
      </c>
      <c r="N26" s="15" t="s">
        <v>33</v>
      </c>
      <c r="O26" s="15" t="s">
        <v>33</v>
      </c>
      <c r="P26" s="15" t="s">
        <v>33</v>
      </c>
      <c r="Q26" s="15" t="s">
        <v>33</v>
      </c>
      <c r="R26" s="15" t="s">
        <v>33</v>
      </c>
      <c r="S26" s="15" t="s">
        <v>33</v>
      </c>
      <c r="T26" s="15" t="s">
        <v>33</v>
      </c>
      <c r="U26" s="15">
        <f t="shared" si="13"/>
        <v>4.383333333</v>
      </c>
      <c r="V26" s="20" t="s">
        <v>33</v>
      </c>
      <c r="W26" s="20" t="s">
        <v>33</v>
      </c>
      <c r="X26" s="20" t="s">
        <v>33</v>
      </c>
      <c r="Y26" s="20" t="s">
        <v>33</v>
      </c>
      <c r="Z26" s="20" t="s">
        <v>33</v>
      </c>
      <c r="AA26" s="20" t="s">
        <v>33</v>
      </c>
      <c r="AB26" s="20" t="s">
        <v>33</v>
      </c>
      <c r="AC26" s="20" t="s">
        <v>33</v>
      </c>
      <c r="AD26" s="15">
        <f t="shared" si="14"/>
        <v>4.383333333</v>
      </c>
      <c r="AE26" s="15" t="s">
        <v>34</v>
      </c>
      <c r="AF26" s="15" t="s">
        <v>35</v>
      </c>
      <c r="AG26" s="15" t="s">
        <v>35</v>
      </c>
      <c r="AH26" s="15">
        <f t="shared" si="1"/>
        <v>10</v>
      </c>
      <c r="AI26" s="15"/>
      <c r="AJ26" s="15" t="s">
        <v>61</v>
      </c>
    </row>
    <row r="27" ht="15.75" customHeight="1">
      <c r="A27" s="15" t="s">
        <v>3240</v>
      </c>
      <c r="B27" s="16" t="s">
        <v>3331</v>
      </c>
      <c r="C27" s="15" t="s">
        <v>3332</v>
      </c>
      <c r="D27" s="15" t="s">
        <v>3333</v>
      </c>
      <c r="E27" s="15" t="s">
        <v>33</v>
      </c>
      <c r="F27" s="15" t="s">
        <v>3334</v>
      </c>
      <c r="G27" s="15" t="s">
        <v>33</v>
      </c>
      <c r="H27" s="15" t="s">
        <v>33</v>
      </c>
      <c r="I27" s="15" t="s">
        <v>33</v>
      </c>
      <c r="J27" s="15" t="s">
        <v>33</v>
      </c>
      <c r="K27" s="15" t="s">
        <v>33</v>
      </c>
      <c r="L27" s="15" t="s">
        <v>33</v>
      </c>
      <c r="M27" s="15" t="s">
        <v>33</v>
      </c>
      <c r="N27" s="15" t="s">
        <v>33</v>
      </c>
      <c r="O27" s="15" t="s">
        <v>33</v>
      </c>
      <c r="P27" s="15" t="s">
        <v>33</v>
      </c>
      <c r="Q27" s="15" t="s">
        <v>33</v>
      </c>
      <c r="R27" s="15" t="s">
        <v>33</v>
      </c>
      <c r="S27" s="15" t="s">
        <v>33</v>
      </c>
      <c r="T27" s="15" t="s">
        <v>33</v>
      </c>
      <c r="U27" s="15">
        <f t="shared" si="13"/>
        <v>0.05</v>
      </c>
      <c r="V27" s="20" t="s">
        <v>33</v>
      </c>
      <c r="W27" s="20" t="s">
        <v>33</v>
      </c>
      <c r="X27" s="20" t="s">
        <v>33</v>
      </c>
      <c r="Y27" s="20" t="s">
        <v>33</v>
      </c>
      <c r="Z27" s="20" t="s">
        <v>33</v>
      </c>
      <c r="AA27" s="20" t="s">
        <v>33</v>
      </c>
      <c r="AB27" s="20" t="s">
        <v>33</v>
      </c>
      <c r="AC27" s="20" t="s">
        <v>33</v>
      </c>
      <c r="AD27" s="15">
        <f t="shared" si="14"/>
        <v>0.05</v>
      </c>
      <c r="AE27" s="15" t="s">
        <v>34</v>
      </c>
      <c r="AF27" s="15" t="s">
        <v>35</v>
      </c>
      <c r="AG27" s="15" t="s">
        <v>35</v>
      </c>
      <c r="AH27" s="15">
        <f t="shared" si="1"/>
        <v>10</v>
      </c>
      <c r="AI27" s="15"/>
      <c r="AJ27" s="15" t="s">
        <v>61</v>
      </c>
    </row>
    <row r="28" ht="15.75" customHeight="1">
      <c r="A28" s="15" t="s">
        <v>3240</v>
      </c>
      <c r="B28" s="16" t="s">
        <v>3335</v>
      </c>
      <c r="C28" s="15" t="s">
        <v>3336</v>
      </c>
      <c r="D28" s="15" t="s">
        <v>33</v>
      </c>
      <c r="E28" s="15" t="s">
        <v>33</v>
      </c>
      <c r="F28" s="15" t="s">
        <v>33</v>
      </c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15" t="s">
        <v>33</v>
      </c>
      <c r="M28" s="15" t="s">
        <v>33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  <c r="U28" s="20" t="s">
        <v>33</v>
      </c>
      <c r="V28" s="20" t="s">
        <v>33</v>
      </c>
      <c r="W28" s="20" t="s">
        <v>33</v>
      </c>
      <c r="X28" s="20" t="s">
        <v>33</v>
      </c>
      <c r="Y28" s="20" t="s">
        <v>33</v>
      </c>
      <c r="Z28" s="20" t="s">
        <v>33</v>
      </c>
      <c r="AA28" s="20" t="s">
        <v>33</v>
      </c>
      <c r="AB28" s="20" t="s">
        <v>33</v>
      </c>
      <c r="AC28" s="20" t="s">
        <v>33</v>
      </c>
      <c r="AD28" s="20" t="s">
        <v>33</v>
      </c>
      <c r="AE28" s="15" t="s">
        <v>35</v>
      </c>
      <c r="AF28" s="15" t="s">
        <v>35</v>
      </c>
      <c r="AG28" s="15" t="s">
        <v>35</v>
      </c>
      <c r="AH28" s="15">
        <f t="shared" si="1"/>
        <v>-15</v>
      </c>
      <c r="AI28" s="15"/>
      <c r="AJ28" s="15" t="s">
        <v>61</v>
      </c>
    </row>
    <row r="29" ht="15.75" customHeight="1">
      <c r="A29" s="15" t="s">
        <v>3240</v>
      </c>
      <c r="B29" s="16" t="s">
        <v>3337</v>
      </c>
      <c r="C29" s="15" t="s">
        <v>3338</v>
      </c>
      <c r="D29" s="15" t="s">
        <v>3339</v>
      </c>
      <c r="E29" s="15" t="s">
        <v>33</v>
      </c>
      <c r="F29" s="15" t="s">
        <v>3340</v>
      </c>
      <c r="G29" s="15" t="s">
        <v>33</v>
      </c>
      <c r="H29" s="15" t="s">
        <v>433</v>
      </c>
      <c r="I29" s="15" t="s">
        <v>33</v>
      </c>
      <c r="J29" s="15" t="s">
        <v>33</v>
      </c>
      <c r="K29" s="15" t="s">
        <v>33</v>
      </c>
      <c r="L29" s="15" t="s">
        <v>33</v>
      </c>
      <c r="M29" s="15" t="s">
        <v>33</v>
      </c>
      <c r="N29" s="15" t="s">
        <v>33</v>
      </c>
      <c r="O29" s="15" t="s">
        <v>33</v>
      </c>
      <c r="P29" s="15" t="s">
        <v>33</v>
      </c>
      <c r="Q29" s="15" t="s">
        <v>33</v>
      </c>
      <c r="R29" s="15" t="s">
        <v>33</v>
      </c>
      <c r="S29" s="15" t="s">
        <v>33</v>
      </c>
      <c r="T29" s="15" t="s">
        <v>33</v>
      </c>
      <c r="U29" s="15">
        <f t="shared" ref="U29:U34" si="15">TEXT(D29-C29,"[mm]")/60</f>
        <v>7.95</v>
      </c>
      <c r="V29" s="20" t="s">
        <v>33</v>
      </c>
      <c r="W29" s="20" t="s">
        <v>33</v>
      </c>
      <c r="X29" s="20" t="s">
        <v>33</v>
      </c>
      <c r="Y29" s="20" t="s">
        <v>33</v>
      </c>
      <c r="Z29" s="20" t="s">
        <v>33</v>
      </c>
      <c r="AA29" s="20" t="s">
        <v>33</v>
      </c>
      <c r="AB29" s="20" t="s">
        <v>33</v>
      </c>
      <c r="AC29" s="20" t="s">
        <v>33</v>
      </c>
      <c r="AD29" s="15">
        <f t="shared" ref="AD29:AD34" si="16">AVERAGE(U29:AC29)</f>
        <v>7.95</v>
      </c>
      <c r="AE29" s="15" t="s">
        <v>34</v>
      </c>
      <c r="AF29" s="15" t="s">
        <v>35</v>
      </c>
      <c r="AG29" s="15" t="s">
        <v>35</v>
      </c>
      <c r="AH29" s="15">
        <f t="shared" si="1"/>
        <v>10</v>
      </c>
      <c r="AI29" s="15"/>
      <c r="AJ29" s="15" t="s">
        <v>61</v>
      </c>
    </row>
    <row r="30" ht="15.75" customHeight="1">
      <c r="A30" s="15" t="s">
        <v>3240</v>
      </c>
      <c r="B30" s="16" t="s">
        <v>3341</v>
      </c>
      <c r="C30" s="15" t="s">
        <v>3342</v>
      </c>
      <c r="D30" s="15" t="s">
        <v>3343</v>
      </c>
      <c r="E30" s="15" t="s">
        <v>3344</v>
      </c>
      <c r="F30" s="15" t="s">
        <v>3345</v>
      </c>
      <c r="G30" s="19">
        <v>46133.635416666664</v>
      </c>
      <c r="H30" s="19">
        <v>46133.759722222225</v>
      </c>
      <c r="I30" s="15" t="s">
        <v>33</v>
      </c>
      <c r="J30" s="15" t="s">
        <v>3043</v>
      </c>
      <c r="K30" s="15" t="s">
        <v>33</v>
      </c>
      <c r="L30" s="15" t="s">
        <v>33</v>
      </c>
      <c r="M30" s="15" t="s">
        <v>33</v>
      </c>
      <c r="N30" s="15" t="s">
        <v>33</v>
      </c>
      <c r="O30" s="15" t="s">
        <v>33</v>
      </c>
      <c r="P30" s="15" t="s">
        <v>33</v>
      </c>
      <c r="Q30" s="15" t="s">
        <v>33</v>
      </c>
      <c r="R30" s="15" t="s">
        <v>33</v>
      </c>
      <c r="S30" s="15" t="s">
        <v>33</v>
      </c>
      <c r="T30" s="15" t="s">
        <v>33</v>
      </c>
      <c r="U30" s="15">
        <f t="shared" si="15"/>
        <v>71.01666667</v>
      </c>
      <c r="V30" s="15">
        <f>TEXT(F30-E30,"[mm]")/60</f>
        <v>0.06666666667</v>
      </c>
      <c r="W30" s="15">
        <f>TEXT(H30-G30,"[mm]")/60</f>
        <v>2.983333333</v>
      </c>
      <c r="X30" s="20" t="s">
        <v>33</v>
      </c>
      <c r="Y30" s="20" t="s">
        <v>33</v>
      </c>
      <c r="Z30" s="20" t="s">
        <v>33</v>
      </c>
      <c r="AA30" s="20" t="s">
        <v>33</v>
      </c>
      <c r="AB30" s="20" t="s">
        <v>33</v>
      </c>
      <c r="AC30" s="20" t="s">
        <v>33</v>
      </c>
      <c r="AD30" s="15">
        <f t="shared" si="16"/>
        <v>24.68888889</v>
      </c>
      <c r="AE30" s="15" t="s">
        <v>35</v>
      </c>
      <c r="AF30" s="15" t="s">
        <v>34</v>
      </c>
      <c r="AG30" s="15" t="s">
        <v>35</v>
      </c>
      <c r="AH30" s="15">
        <f t="shared" si="1"/>
        <v>5</v>
      </c>
      <c r="AI30" s="15"/>
      <c r="AJ30" s="15" t="s">
        <v>61</v>
      </c>
    </row>
    <row r="31" ht="15.75" customHeight="1">
      <c r="A31" s="15" t="s">
        <v>3240</v>
      </c>
      <c r="B31" s="16" t="s">
        <v>3346</v>
      </c>
      <c r="C31" s="15" t="s">
        <v>3347</v>
      </c>
      <c r="D31" s="15" t="s">
        <v>3348</v>
      </c>
      <c r="E31" s="15" t="s">
        <v>33</v>
      </c>
      <c r="F31" s="15" t="s">
        <v>3349</v>
      </c>
      <c r="G31" s="15" t="s">
        <v>33</v>
      </c>
      <c r="H31" s="15" t="s">
        <v>33</v>
      </c>
      <c r="I31" s="15" t="s">
        <v>33</v>
      </c>
      <c r="J31" s="15" t="s">
        <v>33</v>
      </c>
      <c r="K31" s="15" t="s">
        <v>33</v>
      </c>
      <c r="L31" s="15" t="s">
        <v>33</v>
      </c>
      <c r="M31" s="15" t="s">
        <v>33</v>
      </c>
      <c r="N31" s="15" t="s">
        <v>33</v>
      </c>
      <c r="O31" s="15" t="s">
        <v>33</v>
      </c>
      <c r="P31" s="15" t="s">
        <v>33</v>
      </c>
      <c r="Q31" s="15" t="s">
        <v>33</v>
      </c>
      <c r="R31" s="15" t="s">
        <v>33</v>
      </c>
      <c r="S31" s="15" t="s">
        <v>33</v>
      </c>
      <c r="T31" s="15" t="s">
        <v>33</v>
      </c>
      <c r="U31" s="15">
        <f t="shared" si="15"/>
        <v>0.1666666667</v>
      </c>
      <c r="V31" s="20" t="s">
        <v>33</v>
      </c>
      <c r="W31" s="20" t="s">
        <v>33</v>
      </c>
      <c r="X31" s="20" t="s">
        <v>33</v>
      </c>
      <c r="Y31" s="20" t="s">
        <v>33</v>
      </c>
      <c r="Z31" s="20" t="s">
        <v>33</v>
      </c>
      <c r="AA31" s="20" t="s">
        <v>33</v>
      </c>
      <c r="AB31" s="20" t="s">
        <v>33</v>
      </c>
      <c r="AC31" s="20" t="s">
        <v>33</v>
      </c>
      <c r="AD31" s="15">
        <f t="shared" si="16"/>
        <v>0.1666666667</v>
      </c>
      <c r="AE31" s="15" t="s">
        <v>34</v>
      </c>
      <c r="AF31" s="15" t="s">
        <v>35</v>
      </c>
      <c r="AG31" s="15" t="s">
        <v>35</v>
      </c>
      <c r="AH31" s="15">
        <f t="shared" si="1"/>
        <v>10</v>
      </c>
      <c r="AI31" s="15"/>
      <c r="AJ31" s="15" t="s">
        <v>61</v>
      </c>
    </row>
    <row r="32" ht="15.75" customHeight="1">
      <c r="A32" s="15" t="s">
        <v>3240</v>
      </c>
      <c r="B32" s="16" t="s">
        <v>3350</v>
      </c>
      <c r="C32" s="15" t="s">
        <v>3351</v>
      </c>
      <c r="D32" s="15" t="s">
        <v>3352</v>
      </c>
      <c r="E32" s="15" t="s">
        <v>3353</v>
      </c>
      <c r="F32" s="15" t="s">
        <v>3354</v>
      </c>
      <c r="G32" s="15" t="s">
        <v>3355</v>
      </c>
      <c r="H32" s="15" t="s">
        <v>3356</v>
      </c>
      <c r="I32" s="15" t="s">
        <v>3357</v>
      </c>
      <c r="J32" s="15" t="s">
        <v>323</v>
      </c>
      <c r="K32" s="15" t="s">
        <v>3358</v>
      </c>
      <c r="L32" s="15" t="s">
        <v>33</v>
      </c>
      <c r="M32" s="15" t="s">
        <v>3359</v>
      </c>
      <c r="N32" s="15" t="s">
        <v>33</v>
      </c>
      <c r="O32" s="15" t="s">
        <v>3356</v>
      </c>
      <c r="P32" s="15" t="s">
        <v>33</v>
      </c>
      <c r="Q32" s="15" t="s">
        <v>3360</v>
      </c>
      <c r="R32" s="15" t="s">
        <v>33</v>
      </c>
      <c r="S32" s="15" t="s">
        <v>3361</v>
      </c>
      <c r="T32" s="15" t="s">
        <v>33</v>
      </c>
      <c r="U32" s="15">
        <f t="shared" si="15"/>
        <v>0.06666666667</v>
      </c>
      <c r="V32" s="15">
        <f t="shared" ref="V32:V34" si="17">TEXT(F32-E32,"[mm]")/60</f>
        <v>44.38333333</v>
      </c>
      <c r="W32" s="15">
        <f>TEXT(H32-G32,"[mm]")/60</f>
        <v>76.98333333</v>
      </c>
      <c r="X32" s="15">
        <f>TEXT(J32-I32,"[mm]")/60</f>
        <v>139.6333333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0" t="s">
        <v>33</v>
      </c>
      <c r="AD32" s="15">
        <f t="shared" si="16"/>
        <v>65.26666667</v>
      </c>
      <c r="AE32" s="15" t="s">
        <v>34</v>
      </c>
      <c r="AF32" s="15" t="s">
        <v>35</v>
      </c>
      <c r="AG32" s="15" t="s">
        <v>35</v>
      </c>
      <c r="AH32" s="15">
        <f t="shared" si="1"/>
        <v>10</v>
      </c>
      <c r="AI32" s="15"/>
      <c r="AJ32" s="15" t="s">
        <v>61</v>
      </c>
    </row>
    <row r="33" ht="15.75" customHeight="1">
      <c r="A33" s="15" t="s">
        <v>3240</v>
      </c>
      <c r="B33" s="16" t="s">
        <v>3362</v>
      </c>
      <c r="C33" s="15" t="s">
        <v>3363</v>
      </c>
      <c r="D33" s="15" t="s">
        <v>3364</v>
      </c>
      <c r="E33" s="15" t="s">
        <v>3365</v>
      </c>
      <c r="F33" s="15" t="s">
        <v>1810</v>
      </c>
      <c r="G33" s="15" t="s">
        <v>3366</v>
      </c>
      <c r="H33" s="15" t="s">
        <v>33</v>
      </c>
      <c r="I33" s="15" t="s">
        <v>33</v>
      </c>
      <c r="J33" s="15" t="s">
        <v>33</v>
      </c>
      <c r="K33" s="15" t="s">
        <v>33</v>
      </c>
      <c r="L33" s="15" t="s">
        <v>33</v>
      </c>
      <c r="M33" s="15" t="s">
        <v>33</v>
      </c>
      <c r="N33" s="15" t="s">
        <v>33</v>
      </c>
      <c r="O33" s="15" t="s">
        <v>33</v>
      </c>
      <c r="P33" s="15" t="s">
        <v>33</v>
      </c>
      <c r="Q33" s="15" t="s">
        <v>33</v>
      </c>
      <c r="R33" s="15" t="s">
        <v>33</v>
      </c>
      <c r="S33" s="15" t="s">
        <v>33</v>
      </c>
      <c r="T33" s="15" t="s">
        <v>33</v>
      </c>
      <c r="U33" s="15">
        <f t="shared" si="15"/>
        <v>1.366666667</v>
      </c>
      <c r="V33" s="15">
        <f t="shared" si="17"/>
        <v>121.45</v>
      </c>
      <c r="W33" s="20" t="s">
        <v>33</v>
      </c>
      <c r="X33" s="20" t="s">
        <v>33</v>
      </c>
      <c r="Y33" s="20" t="s">
        <v>33</v>
      </c>
      <c r="Z33" s="20" t="s">
        <v>33</v>
      </c>
      <c r="AA33" s="20" t="s">
        <v>33</v>
      </c>
      <c r="AB33" s="20" t="s">
        <v>33</v>
      </c>
      <c r="AC33" s="20" t="s">
        <v>33</v>
      </c>
      <c r="AD33" s="15">
        <f t="shared" si="16"/>
        <v>61.40833333</v>
      </c>
      <c r="AE33" s="15" t="s">
        <v>34</v>
      </c>
      <c r="AF33" s="15" t="s">
        <v>35</v>
      </c>
      <c r="AG33" s="15" t="s">
        <v>35</v>
      </c>
      <c r="AH33" s="15">
        <f t="shared" si="1"/>
        <v>10</v>
      </c>
      <c r="AI33" s="15"/>
      <c r="AJ33" s="15" t="s">
        <v>61</v>
      </c>
    </row>
    <row r="34" ht="15.75" customHeight="1">
      <c r="A34" s="15" t="s">
        <v>3240</v>
      </c>
      <c r="B34" s="16" t="s">
        <v>3367</v>
      </c>
      <c r="C34" s="15" t="s">
        <v>3368</v>
      </c>
      <c r="D34" s="15" t="s">
        <v>3369</v>
      </c>
      <c r="E34" s="19">
        <v>46126.549305555556</v>
      </c>
      <c r="F34" s="19">
        <v>46126.55069444444</v>
      </c>
      <c r="G34" s="19">
        <v>46128.42291666667</v>
      </c>
      <c r="H34" s="19">
        <v>46129.413194444445</v>
      </c>
      <c r="I34" s="15" t="s">
        <v>33</v>
      </c>
      <c r="J34" s="15" t="s">
        <v>3370</v>
      </c>
      <c r="K34" s="15" t="s">
        <v>33</v>
      </c>
      <c r="L34" s="15" t="s">
        <v>33</v>
      </c>
      <c r="M34" s="15" t="s">
        <v>33</v>
      </c>
      <c r="N34" s="15" t="s">
        <v>33</v>
      </c>
      <c r="O34" s="15" t="s">
        <v>33</v>
      </c>
      <c r="P34" s="15" t="s">
        <v>33</v>
      </c>
      <c r="Q34" s="15" t="s">
        <v>33</v>
      </c>
      <c r="R34" s="15" t="s">
        <v>33</v>
      </c>
      <c r="S34" s="15" t="s">
        <v>33</v>
      </c>
      <c r="T34" s="15" t="s">
        <v>33</v>
      </c>
      <c r="U34" s="15">
        <f t="shared" si="15"/>
        <v>0.06666666667</v>
      </c>
      <c r="V34" s="15">
        <f t="shared" si="17"/>
        <v>0.03333333333</v>
      </c>
      <c r="W34" s="15">
        <f>TEXT(H34-G34,"[mm]")/60</f>
        <v>23.76666667</v>
      </c>
      <c r="X34" s="20" t="s">
        <v>33</v>
      </c>
      <c r="Y34" s="20" t="s">
        <v>33</v>
      </c>
      <c r="Z34" s="20" t="s">
        <v>33</v>
      </c>
      <c r="AA34" s="20" t="s">
        <v>33</v>
      </c>
      <c r="AB34" s="20" t="s">
        <v>33</v>
      </c>
      <c r="AC34" s="20" t="s">
        <v>33</v>
      </c>
      <c r="AD34" s="15">
        <f t="shared" si="16"/>
        <v>7.955555556</v>
      </c>
      <c r="AE34" s="15" t="s">
        <v>34</v>
      </c>
      <c r="AF34" s="15" t="s">
        <v>35</v>
      </c>
      <c r="AG34" s="15" t="s">
        <v>35</v>
      </c>
      <c r="AH34" s="15">
        <f t="shared" si="1"/>
        <v>10</v>
      </c>
      <c r="AI34" s="15"/>
      <c r="AJ34" s="15" t="s">
        <v>61</v>
      </c>
    </row>
    <row r="35" ht="15.75" customHeight="1">
      <c r="A35" s="15" t="s">
        <v>3240</v>
      </c>
      <c r="B35" s="16" t="s">
        <v>3371</v>
      </c>
      <c r="C35" s="15" t="s">
        <v>3372</v>
      </c>
      <c r="D35" s="15" t="s">
        <v>33</v>
      </c>
      <c r="E35" s="15" t="s">
        <v>33</v>
      </c>
      <c r="F35" s="15" t="s">
        <v>33</v>
      </c>
      <c r="G35" s="15" t="s">
        <v>33</v>
      </c>
      <c r="H35" s="15" t="s">
        <v>33</v>
      </c>
      <c r="I35" s="15" t="s">
        <v>33</v>
      </c>
      <c r="J35" s="15" t="s">
        <v>33</v>
      </c>
      <c r="K35" s="15" t="s">
        <v>33</v>
      </c>
      <c r="L35" s="15" t="s">
        <v>33</v>
      </c>
      <c r="M35" s="15" t="s">
        <v>33</v>
      </c>
      <c r="N35" s="15" t="s">
        <v>33</v>
      </c>
      <c r="O35" s="15" t="s">
        <v>33</v>
      </c>
      <c r="P35" s="15" t="s">
        <v>33</v>
      </c>
      <c r="Q35" s="15" t="s">
        <v>33</v>
      </c>
      <c r="R35" s="15" t="s">
        <v>33</v>
      </c>
      <c r="S35" s="15" t="s">
        <v>33</v>
      </c>
      <c r="T35" s="15" t="s">
        <v>33</v>
      </c>
      <c r="U35" s="20" t="s">
        <v>33</v>
      </c>
      <c r="V35" s="20" t="s">
        <v>33</v>
      </c>
      <c r="W35" s="20" t="s">
        <v>33</v>
      </c>
      <c r="X35" s="20" t="s">
        <v>33</v>
      </c>
      <c r="Y35" s="20" t="s">
        <v>33</v>
      </c>
      <c r="Z35" s="20" t="s">
        <v>33</v>
      </c>
      <c r="AA35" s="20" t="s">
        <v>33</v>
      </c>
      <c r="AB35" s="20" t="s">
        <v>33</v>
      </c>
      <c r="AC35" s="20" t="s">
        <v>33</v>
      </c>
      <c r="AD35" s="20" t="s">
        <v>33</v>
      </c>
      <c r="AE35" s="15" t="s">
        <v>35</v>
      </c>
      <c r="AF35" s="15" t="s">
        <v>35</v>
      </c>
      <c r="AG35" s="15" t="s">
        <v>35</v>
      </c>
      <c r="AH35" s="15">
        <f t="shared" si="1"/>
        <v>-15</v>
      </c>
      <c r="AI35" s="15"/>
      <c r="AJ35" s="15" t="s">
        <v>61</v>
      </c>
    </row>
    <row r="36" ht="15.75" customHeight="1">
      <c r="A36" s="15" t="s">
        <v>3240</v>
      </c>
      <c r="B36" s="16" t="s">
        <v>3373</v>
      </c>
      <c r="C36" s="15" t="s">
        <v>3374</v>
      </c>
      <c r="D36" s="15" t="s">
        <v>3375</v>
      </c>
      <c r="E36" s="19">
        <v>46118.67013888889</v>
      </c>
      <c r="F36" s="19">
        <v>46118.73263888889</v>
      </c>
      <c r="G36" s="15" t="s">
        <v>3376</v>
      </c>
      <c r="H36" s="15" t="s">
        <v>3377</v>
      </c>
      <c r="I36" s="15" t="s">
        <v>3378</v>
      </c>
      <c r="J36" s="15" t="s">
        <v>33</v>
      </c>
      <c r="K36" s="15" t="s">
        <v>3379</v>
      </c>
      <c r="L36" s="15" t="s">
        <v>33</v>
      </c>
      <c r="M36" s="15" t="s">
        <v>3380</v>
      </c>
      <c r="N36" s="15" t="s">
        <v>33</v>
      </c>
      <c r="O36" s="15" t="s">
        <v>33</v>
      </c>
      <c r="P36" s="15" t="s">
        <v>33</v>
      </c>
      <c r="Q36" s="15" t="s">
        <v>33</v>
      </c>
      <c r="R36" s="15" t="s">
        <v>33</v>
      </c>
      <c r="S36" s="15" t="s">
        <v>33</v>
      </c>
      <c r="T36" s="15" t="s">
        <v>33</v>
      </c>
      <c r="U36" s="15">
        <f t="shared" ref="U36:U37" si="18">TEXT(D36-C36,"[mm]")/60</f>
        <v>7.05</v>
      </c>
      <c r="V36" s="15">
        <f t="shared" ref="V36:V37" si="19">TEXT(F36-E36,"[mm]")/60</f>
        <v>1.5</v>
      </c>
      <c r="W36" s="15">
        <f>TEXT(H36-G36,"[mm]")/60</f>
        <v>0.1</v>
      </c>
      <c r="X36" s="20" t="s">
        <v>33</v>
      </c>
      <c r="Y36" s="20" t="s">
        <v>33</v>
      </c>
      <c r="Z36" s="20" t="s">
        <v>33</v>
      </c>
      <c r="AA36" s="20" t="s">
        <v>33</v>
      </c>
      <c r="AB36" s="20" t="s">
        <v>33</v>
      </c>
      <c r="AC36" s="20" t="s">
        <v>33</v>
      </c>
      <c r="AD36" s="15">
        <f t="shared" ref="AD36:AD37" si="20">AVERAGE(U36:AC36)</f>
        <v>2.883333333</v>
      </c>
      <c r="AE36" s="15" t="s">
        <v>34</v>
      </c>
      <c r="AF36" s="15" t="s">
        <v>35</v>
      </c>
      <c r="AG36" s="15" t="s">
        <v>35</v>
      </c>
      <c r="AH36" s="15">
        <f t="shared" si="1"/>
        <v>10</v>
      </c>
      <c r="AI36" s="15"/>
      <c r="AJ36" s="15" t="s">
        <v>61</v>
      </c>
    </row>
    <row r="37" ht="15.75" customHeight="1">
      <c r="A37" s="15" t="s">
        <v>3240</v>
      </c>
      <c r="B37" s="16" t="s">
        <v>3381</v>
      </c>
      <c r="C37" s="15" t="s">
        <v>3382</v>
      </c>
      <c r="D37" s="15" t="s">
        <v>3383</v>
      </c>
      <c r="E37" s="15" t="s">
        <v>3384</v>
      </c>
      <c r="F37" s="15" t="s">
        <v>3385</v>
      </c>
      <c r="G37" s="15" t="s">
        <v>3386</v>
      </c>
      <c r="H37" s="15" t="s">
        <v>33</v>
      </c>
      <c r="I37" s="15" t="s">
        <v>3387</v>
      </c>
      <c r="J37" s="15" t="s">
        <v>33</v>
      </c>
      <c r="K37" s="15" t="s">
        <v>3388</v>
      </c>
      <c r="L37" s="15" t="s">
        <v>33</v>
      </c>
      <c r="M37" s="15" t="s">
        <v>33</v>
      </c>
      <c r="N37" s="15" t="s">
        <v>33</v>
      </c>
      <c r="O37" s="15" t="s">
        <v>33</v>
      </c>
      <c r="P37" s="15" t="s">
        <v>33</v>
      </c>
      <c r="Q37" s="15" t="s">
        <v>33</v>
      </c>
      <c r="R37" s="15" t="s">
        <v>33</v>
      </c>
      <c r="S37" s="15" t="s">
        <v>33</v>
      </c>
      <c r="T37" s="15" t="s">
        <v>33</v>
      </c>
      <c r="U37" s="15">
        <f t="shared" si="18"/>
        <v>0.15</v>
      </c>
      <c r="V37" s="15">
        <f t="shared" si="19"/>
        <v>130.95</v>
      </c>
      <c r="W37" s="20" t="s">
        <v>33</v>
      </c>
      <c r="X37" s="20" t="s">
        <v>33</v>
      </c>
      <c r="Y37" s="20" t="s">
        <v>33</v>
      </c>
      <c r="Z37" s="20" t="s">
        <v>33</v>
      </c>
      <c r="AA37" s="20" t="s">
        <v>33</v>
      </c>
      <c r="AB37" s="20" t="s">
        <v>33</v>
      </c>
      <c r="AC37" s="20" t="s">
        <v>33</v>
      </c>
      <c r="AD37" s="15">
        <f t="shared" si="20"/>
        <v>65.55</v>
      </c>
      <c r="AE37" s="15" t="s">
        <v>34</v>
      </c>
      <c r="AF37" s="15" t="s">
        <v>35</v>
      </c>
      <c r="AG37" s="15" t="s">
        <v>35</v>
      </c>
      <c r="AH37" s="15">
        <f t="shared" si="1"/>
        <v>10</v>
      </c>
      <c r="AI37" s="15"/>
      <c r="AJ37" s="15" t="s">
        <v>61</v>
      </c>
    </row>
    <row r="38" ht="15.75" customHeight="1">
      <c r="A38" s="15" t="s">
        <v>3240</v>
      </c>
      <c r="B38" s="16" t="s">
        <v>3389</v>
      </c>
      <c r="C38" s="15" t="s">
        <v>3390</v>
      </c>
      <c r="D38" s="15" t="s">
        <v>33</v>
      </c>
      <c r="E38" s="15" t="s">
        <v>33</v>
      </c>
      <c r="F38" s="15" t="s">
        <v>33</v>
      </c>
      <c r="G38" s="15" t="s">
        <v>33</v>
      </c>
      <c r="H38" s="15" t="s">
        <v>33</v>
      </c>
      <c r="I38" s="15" t="s">
        <v>33</v>
      </c>
      <c r="J38" s="15" t="s">
        <v>33</v>
      </c>
      <c r="K38" s="15" t="s">
        <v>33</v>
      </c>
      <c r="L38" s="15" t="s">
        <v>33</v>
      </c>
      <c r="M38" s="15" t="s">
        <v>33</v>
      </c>
      <c r="N38" s="15" t="s">
        <v>33</v>
      </c>
      <c r="O38" s="15" t="s">
        <v>33</v>
      </c>
      <c r="P38" s="15" t="s">
        <v>33</v>
      </c>
      <c r="Q38" s="15" t="s">
        <v>33</v>
      </c>
      <c r="R38" s="15" t="s">
        <v>33</v>
      </c>
      <c r="S38" s="15" t="s">
        <v>33</v>
      </c>
      <c r="T38" s="15" t="s">
        <v>33</v>
      </c>
      <c r="U38" s="20" t="s">
        <v>33</v>
      </c>
      <c r="V38" s="20" t="s">
        <v>33</v>
      </c>
      <c r="W38" s="20" t="s">
        <v>33</v>
      </c>
      <c r="X38" s="20" t="s">
        <v>33</v>
      </c>
      <c r="Y38" s="20" t="s">
        <v>33</v>
      </c>
      <c r="Z38" s="20" t="s">
        <v>33</v>
      </c>
      <c r="AA38" s="20" t="s">
        <v>33</v>
      </c>
      <c r="AB38" s="20" t="s">
        <v>33</v>
      </c>
      <c r="AC38" s="20" t="s">
        <v>33</v>
      </c>
      <c r="AD38" s="20" t="s">
        <v>33</v>
      </c>
      <c r="AE38" s="15" t="s">
        <v>35</v>
      </c>
      <c r="AF38" s="15" t="s">
        <v>35</v>
      </c>
      <c r="AG38" s="15" t="s">
        <v>35</v>
      </c>
      <c r="AH38" s="15">
        <f t="shared" si="1"/>
        <v>-15</v>
      </c>
      <c r="AI38" s="15"/>
      <c r="AJ38" s="15" t="s">
        <v>61</v>
      </c>
    </row>
    <row r="39" ht="15.75" customHeight="1">
      <c r="A39" s="15" t="s">
        <v>3240</v>
      </c>
      <c r="B39" s="16" t="s">
        <v>3391</v>
      </c>
      <c r="C39" s="15" t="s">
        <v>3392</v>
      </c>
      <c r="D39" s="15" t="s">
        <v>3393</v>
      </c>
      <c r="E39" s="19">
        <v>46116.72152777778</v>
      </c>
      <c r="F39" s="19">
        <v>46116.73125</v>
      </c>
      <c r="G39" s="19">
        <v>46116.73402777778</v>
      </c>
      <c r="H39" s="19">
        <v>46118.686111111114</v>
      </c>
      <c r="I39" s="19">
        <v>46118.688888888886</v>
      </c>
      <c r="J39" s="19">
        <v>46118.694444444445</v>
      </c>
      <c r="K39" s="19">
        <v>46118.54791666667</v>
      </c>
      <c r="L39" s="19">
        <v>46119.54791666667</v>
      </c>
      <c r="M39" s="19">
        <v>46118.990277777775</v>
      </c>
      <c r="N39" s="19">
        <v>46121.35486111111</v>
      </c>
      <c r="O39" s="19">
        <v>46121.35625</v>
      </c>
      <c r="P39" s="19">
        <v>46128.64027777778</v>
      </c>
      <c r="Q39" s="15" t="s">
        <v>33</v>
      </c>
      <c r="R39" s="15" t="s">
        <v>33</v>
      </c>
      <c r="S39" s="15" t="s">
        <v>33</v>
      </c>
      <c r="T39" s="15" t="s">
        <v>33</v>
      </c>
      <c r="U39" s="15">
        <f t="shared" ref="U39:U40" si="21">TEXT(D39-C39,"[mm]")/60</f>
        <v>18.21666667</v>
      </c>
      <c r="V39" s="15">
        <f t="shared" ref="V39:V40" si="22">TEXT(F39-E39,"[mm]")/60</f>
        <v>0.2333333333</v>
      </c>
      <c r="W39" s="15">
        <f>TEXT(H39-G39,"[mm]")/60</f>
        <v>46.85</v>
      </c>
      <c r="X39" s="15">
        <f>TEXT(J39-I39,"[mm]")/60</f>
        <v>0.1333333333</v>
      </c>
      <c r="Y39" s="15">
        <f>TEXT(L39-K39,"[mm]")/60</f>
        <v>24</v>
      </c>
      <c r="Z39" s="15">
        <f>TEXT(N39-M39,"[mm]")/60</f>
        <v>56.75</v>
      </c>
      <c r="AA39" s="15">
        <f>TEXT(P39-O39,"[mm]")/60</f>
        <v>174.8166667</v>
      </c>
      <c r="AB39" s="20" t="s">
        <v>33</v>
      </c>
      <c r="AC39" s="20" t="s">
        <v>33</v>
      </c>
      <c r="AD39" s="15">
        <f t="shared" ref="AD39:AD40" si="23">AVERAGE(U39:AC39)</f>
        <v>45.85714286</v>
      </c>
      <c r="AE39" s="15" t="s">
        <v>34</v>
      </c>
      <c r="AF39" s="15" t="s">
        <v>35</v>
      </c>
      <c r="AG39" s="15" t="s">
        <v>35</v>
      </c>
      <c r="AH39" s="15">
        <f t="shared" si="1"/>
        <v>10</v>
      </c>
      <c r="AI39" s="15"/>
      <c r="AJ39" s="15" t="s">
        <v>61</v>
      </c>
    </row>
    <row r="40" ht="15.75" customHeight="1">
      <c r="A40" s="15" t="s">
        <v>3240</v>
      </c>
      <c r="B40" s="16" t="s">
        <v>3394</v>
      </c>
      <c r="C40" s="15" t="s">
        <v>3395</v>
      </c>
      <c r="D40" s="15" t="s">
        <v>3396</v>
      </c>
      <c r="E40" s="19">
        <v>46116.458333333336</v>
      </c>
      <c r="F40" s="19">
        <v>46121.472916666666</v>
      </c>
      <c r="G40" s="15" t="s">
        <v>33</v>
      </c>
      <c r="H40" s="15" t="s">
        <v>3397</v>
      </c>
      <c r="I40" s="15" t="s">
        <v>33</v>
      </c>
      <c r="J40" s="15" t="s">
        <v>3398</v>
      </c>
      <c r="K40" s="15" t="s">
        <v>33</v>
      </c>
      <c r="L40" s="15" t="s">
        <v>3399</v>
      </c>
      <c r="M40" s="15" t="s">
        <v>33</v>
      </c>
      <c r="N40" s="15" t="s">
        <v>33</v>
      </c>
      <c r="O40" s="15" t="s">
        <v>33</v>
      </c>
      <c r="P40" s="15" t="s">
        <v>33</v>
      </c>
      <c r="Q40" s="15" t="s">
        <v>33</v>
      </c>
      <c r="R40" s="15" t="s">
        <v>33</v>
      </c>
      <c r="S40" s="15" t="s">
        <v>33</v>
      </c>
      <c r="T40" s="15" t="s">
        <v>33</v>
      </c>
      <c r="U40" s="15">
        <f t="shared" si="21"/>
        <v>19.11666667</v>
      </c>
      <c r="V40" s="15">
        <f t="shared" si="22"/>
        <v>120.35</v>
      </c>
      <c r="W40" s="20" t="s">
        <v>33</v>
      </c>
      <c r="X40" s="20" t="s">
        <v>33</v>
      </c>
      <c r="Y40" s="20" t="s">
        <v>33</v>
      </c>
      <c r="Z40" s="20" t="s">
        <v>33</v>
      </c>
      <c r="AA40" s="20" t="s">
        <v>33</v>
      </c>
      <c r="AB40" s="20" t="s">
        <v>33</v>
      </c>
      <c r="AC40" s="20" t="s">
        <v>33</v>
      </c>
      <c r="AD40" s="15">
        <f t="shared" si="23"/>
        <v>69.73333333</v>
      </c>
      <c r="AE40" s="15" t="s">
        <v>34</v>
      </c>
      <c r="AF40" s="15" t="s">
        <v>35</v>
      </c>
      <c r="AG40" s="15" t="s">
        <v>35</v>
      </c>
      <c r="AH40" s="15">
        <f t="shared" si="1"/>
        <v>10</v>
      </c>
      <c r="AI40" s="15"/>
      <c r="AJ40" s="15" t="s">
        <v>61</v>
      </c>
    </row>
    <row r="41" ht="15.75" customHeight="1">
      <c r="A41" s="15" t="s">
        <v>3240</v>
      </c>
      <c r="B41" s="16" t="s">
        <v>3400</v>
      </c>
      <c r="C41" s="15" t="s">
        <v>3401</v>
      </c>
      <c r="D41" s="15" t="s">
        <v>33</v>
      </c>
      <c r="E41" s="15" t="s">
        <v>33</v>
      </c>
      <c r="F41" s="15" t="s">
        <v>33</v>
      </c>
      <c r="G41" s="15" t="s">
        <v>33</v>
      </c>
      <c r="H41" s="15" t="s">
        <v>33</v>
      </c>
      <c r="I41" s="15" t="s">
        <v>33</v>
      </c>
      <c r="J41" s="15" t="s">
        <v>33</v>
      </c>
      <c r="K41" s="15" t="s">
        <v>33</v>
      </c>
      <c r="L41" s="15" t="s">
        <v>33</v>
      </c>
      <c r="M41" s="15" t="s">
        <v>33</v>
      </c>
      <c r="N41" s="15" t="s">
        <v>33</v>
      </c>
      <c r="O41" s="15" t="s">
        <v>33</v>
      </c>
      <c r="P41" s="15" t="s">
        <v>33</v>
      </c>
      <c r="Q41" s="15" t="s">
        <v>33</v>
      </c>
      <c r="R41" s="15" t="s">
        <v>33</v>
      </c>
      <c r="S41" s="15" t="s">
        <v>33</v>
      </c>
      <c r="T41" s="15" t="s">
        <v>33</v>
      </c>
      <c r="U41" s="20" t="s">
        <v>33</v>
      </c>
      <c r="V41" s="20" t="s">
        <v>33</v>
      </c>
      <c r="W41" s="20" t="s">
        <v>33</v>
      </c>
      <c r="X41" s="20" t="s">
        <v>33</v>
      </c>
      <c r="Y41" s="20" t="s">
        <v>33</v>
      </c>
      <c r="Z41" s="20" t="s">
        <v>33</v>
      </c>
      <c r="AA41" s="20" t="s">
        <v>33</v>
      </c>
      <c r="AB41" s="20" t="s">
        <v>33</v>
      </c>
      <c r="AC41" s="20" t="s">
        <v>33</v>
      </c>
      <c r="AD41" s="20" t="s">
        <v>33</v>
      </c>
      <c r="AE41" s="15" t="s">
        <v>35</v>
      </c>
      <c r="AF41" s="15" t="s">
        <v>35</v>
      </c>
      <c r="AG41" s="15" t="s">
        <v>35</v>
      </c>
      <c r="AH41" s="15">
        <f t="shared" si="1"/>
        <v>-15</v>
      </c>
      <c r="AI41" s="15"/>
      <c r="AJ41" s="15" t="s">
        <v>61</v>
      </c>
    </row>
    <row r="42" ht="15.75" customHeight="1">
      <c r="A42" s="15" t="s">
        <v>3240</v>
      </c>
      <c r="B42" s="16" t="s">
        <v>3402</v>
      </c>
      <c r="C42" s="15" t="s">
        <v>3403</v>
      </c>
      <c r="D42" s="15" t="s">
        <v>3404</v>
      </c>
      <c r="E42" s="15" t="s">
        <v>33</v>
      </c>
      <c r="F42" s="15" t="s">
        <v>3405</v>
      </c>
      <c r="G42" s="15" t="s">
        <v>33</v>
      </c>
      <c r="H42" s="15" t="s">
        <v>3406</v>
      </c>
      <c r="I42" s="15" t="s">
        <v>33</v>
      </c>
      <c r="J42" s="15" t="s">
        <v>33</v>
      </c>
      <c r="K42" s="15" t="s">
        <v>33</v>
      </c>
      <c r="L42" s="15" t="s">
        <v>33</v>
      </c>
      <c r="M42" s="15" t="s">
        <v>33</v>
      </c>
      <c r="N42" s="15" t="s">
        <v>33</v>
      </c>
      <c r="O42" s="15" t="s">
        <v>33</v>
      </c>
      <c r="P42" s="15" t="s">
        <v>33</v>
      </c>
      <c r="Q42" s="15" t="s">
        <v>33</v>
      </c>
      <c r="R42" s="15" t="s">
        <v>33</v>
      </c>
      <c r="S42" s="15" t="s">
        <v>33</v>
      </c>
      <c r="T42" s="15" t="s">
        <v>33</v>
      </c>
      <c r="U42" s="15">
        <f>TEXT(D42-C42,"[mm]")/60</f>
        <v>0.06666666667</v>
      </c>
      <c r="V42" s="20" t="s">
        <v>33</v>
      </c>
      <c r="W42" s="20" t="s">
        <v>33</v>
      </c>
      <c r="X42" s="20" t="s">
        <v>33</v>
      </c>
      <c r="Y42" s="20" t="s">
        <v>33</v>
      </c>
      <c r="Z42" s="20" t="s">
        <v>33</v>
      </c>
      <c r="AA42" s="20" t="s">
        <v>33</v>
      </c>
      <c r="AB42" s="20" t="s">
        <v>33</v>
      </c>
      <c r="AC42" s="20" t="s">
        <v>33</v>
      </c>
      <c r="AD42" s="15">
        <f>AVERAGE(U42:AC42)</f>
        <v>0.06666666667</v>
      </c>
      <c r="AE42" s="15" t="s">
        <v>34</v>
      </c>
      <c r="AF42" s="15" t="s">
        <v>35</v>
      </c>
      <c r="AG42" s="15" t="s">
        <v>35</v>
      </c>
      <c r="AH42" s="15">
        <f t="shared" si="1"/>
        <v>10</v>
      </c>
      <c r="AI42" s="15"/>
      <c r="AJ42" s="15" t="s">
        <v>61</v>
      </c>
    </row>
    <row r="43" ht="15.75" customHeight="1">
      <c r="AD43" s="21">
        <f>AVERAGE(AD2:AD42)</f>
        <v>13.31622732</v>
      </c>
      <c r="AH43" s="21">
        <f>SUM(AH3:AH42)</f>
        <v>95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</hyperlinks>
  <printOptions/>
  <pageMargins bottom="1.0" footer="0.0" header="0.0" left="0.75" right="0.75" top="1.0"/>
  <pageSetup orientation="landscape"/>
  <drawing r:id="rId4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2.71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3407</v>
      </c>
      <c r="B3" s="16" t="s">
        <v>3408</v>
      </c>
      <c r="C3" s="15" t="s">
        <v>3409</v>
      </c>
      <c r="D3" s="15" t="s">
        <v>33</v>
      </c>
      <c r="E3" s="15" t="s">
        <v>3410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 t="s">
        <v>33</v>
      </c>
      <c r="V3" s="15" t="s">
        <v>33</v>
      </c>
      <c r="W3" s="29" t="s">
        <v>33</v>
      </c>
      <c r="X3" s="29" t="s">
        <v>33</v>
      </c>
      <c r="Y3" s="29" t="s">
        <v>33</v>
      </c>
      <c r="Z3" s="29" t="s">
        <v>33</v>
      </c>
      <c r="AA3" s="29" t="s">
        <v>33</v>
      </c>
      <c r="AB3" s="29" t="s">
        <v>33</v>
      </c>
      <c r="AC3" s="29" t="s">
        <v>33</v>
      </c>
      <c r="AD3" s="29" t="s">
        <v>33</v>
      </c>
      <c r="AE3" s="15" t="s">
        <v>35</v>
      </c>
      <c r="AF3" s="15" t="s">
        <v>35</v>
      </c>
      <c r="AG3" s="15" t="s">
        <v>35</v>
      </c>
      <c r="AH3" s="15">
        <f t="shared" ref="AH3:AH23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3407</v>
      </c>
      <c r="B4" s="16" t="s">
        <v>3411</v>
      </c>
      <c r="C4" s="15" t="s">
        <v>3412</v>
      </c>
      <c r="D4" s="15" t="s">
        <v>33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 t="s">
        <v>33</v>
      </c>
      <c r="V4" s="15" t="s">
        <v>33</v>
      </c>
      <c r="W4" s="29" t="s">
        <v>33</v>
      </c>
      <c r="X4" s="29" t="s">
        <v>33</v>
      </c>
      <c r="Y4" s="29" t="s">
        <v>33</v>
      </c>
      <c r="Z4" s="29" t="s">
        <v>33</v>
      </c>
      <c r="AA4" s="29" t="s">
        <v>33</v>
      </c>
      <c r="AB4" s="29" t="s">
        <v>33</v>
      </c>
      <c r="AC4" s="29" t="s">
        <v>33</v>
      </c>
      <c r="AD4" s="29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3407</v>
      </c>
      <c r="B5" s="16" t="s">
        <v>3413</v>
      </c>
      <c r="C5" s="15" t="s">
        <v>3414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 t="s">
        <v>33</v>
      </c>
      <c r="V5" s="15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29" t="s">
        <v>33</v>
      </c>
      <c r="AB5" s="29" t="s">
        <v>33</v>
      </c>
      <c r="AC5" s="29" t="s">
        <v>33</v>
      </c>
      <c r="AD5" s="29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3407</v>
      </c>
      <c r="B6" s="16" t="s">
        <v>3415</v>
      </c>
      <c r="C6" s="15" t="s">
        <v>3416</v>
      </c>
      <c r="D6" s="15" t="s">
        <v>33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 t="s">
        <v>33</v>
      </c>
      <c r="V6" s="15" t="s">
        <v>33</v>
      </c>
      <c r="W6" s="29" t="s">
        <v>33</v>
      </c>
      <c r="X6" s="29" t="s">
        <v>33</v>
      </c>
      <c r="Y6" s="29" t="s">
        <v>33</v>
      </c>
      <c r="Z6" s="29" t="s">
        <v>33</v>
      </c>
      <c r="AA6" s="29" t="s">
        <v>33</v>
      </c>
      <c r="AB6" s="29" t="s">
        <v>33</v>
      </c>
      <c r="AC6" s="29" t="s">
        <v>33</v>
      </c>
      <c r="AD6" s="29" t="s">
        <v>33</v>
      </c>
      <c r="AE6" s="15" t="s">
        <v>35</v>
      </c>
      <c r="AF6" s="15" t="s">
        <v>35</v>
      </c>
      <c r="AG6" s="15" t="s">
        <v>35</v>
      </c>
      <c r="AH6" s="15">
        <f t="shared" si="1"/>
        <v>-15</v>
      </c>
      <c r="AI6" s="15"/>
      <c r="AJ6" s="15" t="s">
        <v>61</v>
      </c>
    </row>
    <row r="7" ht="15.75" customHeight="1">
      <c r="A7" s="15" t="s">
        <v>3407</v>
      </c>
      <c r="B7" s="16" t="s">
        <v>3417</v>
      </c>
      <c r="C7" s="15" t="s">
        <v>3418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 t="s">
        <v>33</v>
      </c>
      <c r="V7" s="15" t="s">
        <v>33</v>
      </c>
      <c r="W7" s="29" t="s">
        <v>33</v>
      </c>
      <c r="X7" s="29" t="s">
        <v>33</v>
      </c>
      <c r="Y7" s="29" t="s">
        <v>33</v>
      </c>
      <c r="Z7" s="29" t="s">
        <v>33</v>
      </c>
      <c r="AA7" s="29" t="s">
        <v>33</v>
      </c>
      <c r="AB7" s="29" t="s">
        <v>33</v>
      </c>
      <c r="AC7" s="29" t="s">
        <v>33</v>
      </c>
      <c r="AD7" s="29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 ht="15.75" customHeight="1">
      <c r="A8" s="15" t="s">
        <v>3407</v>
      </c>
      <c r="B8" s="16" t="s">
        <v>3419</v>
      </c>
      <c r="C8" s="15" t="s">
        <v>3420</v>
      </c>
      <c r="D8" s="15" t="s">
        <v>33</v>
      </c>
      <c r="E8" s="15" t="s">
        <v>33</v>
      </c>
      <c r="F8" s="15" t="s">
        <v>33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 t="s">
        <v>33</v>
      </c>
      <c r="V8" s="15" t="s">
        <v>33</v>
      </c>
      <c r="W8" s="29" t="s">
        <v>33</v>
      </c>
      <c r="X8" s="29" t="s">
        <v>33</v>
      </c>
      <c r="Y8" s="29" t="s">
        <v>33</v>
      </c>
      <c r="Z8" s="29" t="s">
        <v>33</v>
      </c>
      <c r="AA8" s="29" t="s">
        <v>33</v>
      </c>
      <c r="AB8" s="29" t="s">
        <v>33</v>
      </c>
      <c r="AC8" s="29" t="s">
        <v>33</v>
      </c>
      <c r="AD8" s="29" t="s">
        <v>33</v>
      </c>
      <c r="AE8" s="15" t="s">
        <v>35</v>
      </c>
      <c r="AF8" s="15" t="s">
        <v>35</v>
      </c>
      <c r="AG8" s="15" t="s">
        <v>35</v>
      </c>
      <c r="AH8" s="15">
        <f t="shared" si="1"/>
        <v>-15</v>
      </c>
      <c r="AI8" s="15"/>
      <c r="AJ8" s="15" t="s">
        <v>61</v>
      </c>
    </row>
    <row r="9" ht="15.75" customHeight="1">
      <c r="A9" s="15" t="s">
        <v>3407</v>
      </c>
      <c r="B9" s="16" t="s">
        <v>3421</v>
      </c>
      <c r="C9" s="15" t="s">
        <v>3422</v>
      </c>
      <c r="D9" s="15" t="s">
        <v>33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 t="s">
        <v>33</v>
      </c>
      <c r="V9" s="15" t="s">
        <v>33</v>
      </c>
      <c r="W9" s="29" t="s">
        <v>33</v>
      </c>
      <c r="X9" s="29" t="s">
        <v>33</v>
      </c>
      <c r="Y9" s="29" t="s">
        <v>33</v>
      </c>
      <c r="Z9" s="29" t="s">
        <v>33</v>
      </c>
      <c r="AA9" s="29" t="s">
        <v>33</v>
      </c>
      <c r="AB9" s="29" t="s">
        <v>33</v>
      </c>
      <c r="AC9" s="29" t="s">
        <v>33</v>
      </c>
      <c r="AD9" s="29" t="s">
        <v>33</v>
      </c>
      <c r="AE9" s="15" t="s">
        <v>35</v>
      </c>
      <c r="AF9" s="15" t="s">
        <v>35</v>
      </c>
      <c r="AG9" s="15" t="s">
        <v>35</v>
      </c>
      <c r="AH9" s="15">
        <f t="shared" si="1"/>
        <v>-15</v>
      </c>
      <c r="AI9" s="15"/>
      <c r="AJ9" s="15" t="s">
        <v>61</v>
      </c>
    </row>
    <row r="10" ht="15.75" customHeight="1">
      <c r="A10" s="15" t="s">
        <v>3407</v>
      </c>
      <c r="B10" s="16" t="s">
        <v>3423</v>
      </c>
      <c r="C10" s="15" t="s">
        <v>3424</v>
      </c>
      <c r="D10" s="15" t="s">
        <v>33</v>
      </c>
      <c r="E10" s="15" t="s">
        <v>33</v>
      </c>
      <c r="F10" s="15" t="s">
        <v>33</v>
      </c>
      <c r="G10" s="15" t="s">
        <v>33</v>
      </c>
      <c r="H10" s="15" t="s">
        <v>33</v>
      </c>
      <c r="I10" s="15" t="s">
        <v>33</v>
      </c>
      <c r="J10" s="15" t="s">
        <v>33</v>
      </c>
      <c r="K10" s="15" t="s">
        <v>33</v>
      </c>
      <c r="L10" s="15" t="s">
        <v>33</v>
      </c>
      <c r="M10" s="15" t="s">
        <v>33</v>
      </c>
      <c r="N10" s="15" t="s">
        <v>33</v>
      </c>
      <c r="O10" s="15" t="s">
        <v>33</v>
      </c>
      <c r="P10" s="15" t="s">
        <v>33</v>
      </c>
      <c r="Q10" s="15" t="s">
        <v>33</v>
      </c>
      <c r="R10" s="15" t="s">
        <v>33</v>
      </c>
      <c r="S10" s="15" t="s">
        <v>33</v>
      </c>
      <c r="T10" s="15" t="s">
        <v>33</v>
      </c>
      <c r="U10" s="15" t="s">
        <v>33</v>
      </c>
      <c r="V10" s="15" t="s">
        <v>33</v>
      </c>
      <c r="W10" s="29" t="s">
        <v>33</v>
      </c>
      <c r="X10" s="29" t="s">
        <v>33</v>
      </c>
      <c r="Y10" s="29" t="s">
        <v>33</v>
      </c>
      <c r="Z10" s="29" t="s">
        <v>33</v>
      </c>
      <c r="AA10" s="29" t="s">
        <v>33</v>
      </c>
      <c r="AB10" s="29" t="s">
        <v>33</v>
      </c>
      <c r="AC10" s="29" t="s">
        <v>33</v>
      </c>
      <c r="AD10" s="29" t="s">
        <v>33</v>
      </c>
      <c r="AE10" s="15" t="s">
        <v>35</v>
      </c>
      <c r="AF10" s="15" t="s">
        <v>35</v>
      </c>
      <c r="AG10" s="15" t="s">
        <v>35</v>
      </c>
      <c r="AH10" s="15">
        <f t="shared" si="1"/>
        <v>-15</v>
      </c>
      <c r="AI10" s="15"/>
      <c r="AJ10" s="15" t="s">
        <v>61</v>
      </c>
    </row>
    <row r="11" ht="15.75" customHeight="1">
      <c r="A11" s="15" t="s">
        <v>3407</v>
      </c>
      <c r="B11" s="16" t="s">
        <v>3425</v>
      </c>
      <c r="C11" s="15" t="s">
        <v>3426</v>
      </c>
      <c r="D11" s="15" t="s">
        <v>33</v>
      </c>
      <c r="E11" s="15" t="s">
        <v>33</v>
      </c>
      <c r="F11" s="15" t="s">
        <v>33</v>
      </c>
      <c r="G11" s="15" t="s">
        <v>33</v>
      </c>
      <c r="H11" s="15" t="s">
        <v>33</v>
      </c>
      <c r="I11" s="15" t="s">
        <v>33</v>
      </c>
      <c r="J11" s="15" t="s">
        <v>33</v>
      </c>
      <c r="K11" s="15" t="s">
        <v>33</v>
      </c>
      <c r="L11" s="15" t="s">
        <v>33</v>
      </c>
      <c r="M11" s="15" t="s">
        <v>33</v>
      </c>
      <c r="N11" s="15" t="s">
        <v>33</v>
      </c>
      <c r="O11" s="15" t="s">
        <v>33</v>
      </c>
      <c r="P11" s="15" t="s">
        <v>33</v>
      </c>
      <c r="Q11" s="15" t="s">
        <v>33</v>
      </c>
      <c r="R11" s="15" t="s">
        <v>33</v>
      </c>
      <c r="S11" s="15" t="s">
        <v>33</v>
      </c>
      <c r="T11" s="15" t="s">
        <v>33</v>
      </c>
      <c r="U11" s="15" t="s">
        <v>33</v>
      </c>
      <c r="V11" s="15" t="s">
        <v>33</v>
      </c>
      <c r="W11" s="29" t="s">
        <v>33</v>
      </c>
      <c r="X11" s="29" t="s">
        <v>33</v>
      </c>
      <c r="Y11" s="29" t="s">
        <v>33</v>
      </c>
      <c r="Z11" s="29" t="s">
        <v>33</v>
      </c>
      <c r="AA11" s="29" t="s">
        <v>33</v>
      </c>
      <c r="AB11" s="29" t="s">
        <v>33</v>
      </c>
      <c r="AC11" s="29" t="s">
        <v>33</v>
      </c>
      <c r="AD11" s="29" t="s">
        <v>33</v>
      </c>
      <c r="AE11" s="15" t="s">
        <v>35</v>
      </c>
      <c r="AF11" s="15" t="s">
        <v>35</v>
      </c>
      <c r="AG11" s="15" t="s">
        <v>35</v>
      </c>
      <c r="AH11" s="15">
        <f t="shared" si="1"/>
        <v>-15</v>
      </c>
      <c r="AI11" s="15"/>
      <c r="AJ11" s="15" t="s">
        <v>61</v>
      </c>
    </row>
    <row r="12" ht="15.75" customHeight="1">
      <c r="A12" s="15" t="s">
        <v>3407</v>
      </c>
      <c r="B12" s="16" t="s">
        <v>3427</v>
      </c>
      <c r="C12" s="15" t="s">
        <v>3428</v>
      </c>
      <c r="D12" s="15" t="s">
        <v>33</v>
      </c>
      <c r="E12" s="15" t="s">
        <v>3429</v>
      </c>
      <c r="F12" s="15" t="s">
        <v>33</v>
      </c>
      <c r="G12" s="15" t="s">
        <v>3430</v>
      </c>
      <c r="H12" s="15" t="s">
        <v>33</v>
      </c>
      <c r="I12" s="15" t="s">
        <v>3431</v>
      </c>
      <c r="J12" s="15" t="s">
        <v>33</v>
      </c>
      <c r="K12" s="15" t="s">
        <v>33</v>
      </c>
      <c r="L12" s="15" t="s">
        <v>33</v>
      </c>
      <c r="M12" s="15" t="s">
        <v>33</v>
      </c>
      <c r="N12" s="15" t="s">
        <v>33</v>
      </c>
      <c r="O12" s="15" t="s">
        <v>33</v>
      </c>
      <c r="P12" s="15" t="s">
        <v>33</v>
      </c>
      <c r="Q12" s="15" t="s">
        <v>33</v>
      </c>
      <c r="R12" s="15" t="s">
        <v>33</v>
      </c>
      <c r="S12" s="15" t="s">
        <v>33</v>
      </c>
      <c r="T12" s="15" t="s">
        <v>33</v>
      </c>
      <c r="U12" s="15" t="s">
        <v>33</v>
      </c>
      <c r="V12" s="15" t="s">
        <v>33</v>
      </c>
      <c r="W12" s="29" t="s">
        <v>33</v>
      </c>
      <c r="X12" s="29" t="s">
        <v>33</v>
      </c>
      <c r="Y12" s="29" t="s">
        <v>33</v>
      </c>
      <c r="Z12" s="29" t="s">
        <v>33</v>
      </c>
      <c r="AA12" s="29" t="s">
        <v>33</v>
      </c>
      <c r="AB12" s="29" t="s">
        <v>33</v>
      </c>
      <c r="AC12" s="29" t="s">
        <v>33</v>
      </c>
      <c r="AD12" s="29" t="s">
        <v>33</v>
      </c>
      <c r="AE12" s="15" t="s">
        <v>35</v>
      </c>
      <c r="AF12" s="15" t="s">
        <v>35</v>
      </c>
      <c r="AG12" s="15" t="s">
        <v>35</v>
      </c>
      <c r="AH12" s="15">
        <f t="shared" si="1"/>
        <v>-15</v>
      </c>
      <c r="AI12" s="15"/>
      <c r="AJ12" s="15" t="s">
        <v>61</v>
      </c>
    </row>
    <row r="13" ht="15.75" customHeight="1">
      <c r="A13" s="15" t="s">
        <v>3407</v>
      </c>
      <c r="B13" s="16" t="s">
        <v>3432</v>
      </c>
      <c r="C13" s="15" t="s">
        <v>3433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5" t="s">
        <v>33</v>
      </c>
      <c r="N13" s="15" t="s">
        <v>33</v>
      </c>
      <c r="O13" s="15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  <c r="U13" s="15" t="s">
        <v>33</v>
      </c>
      <c r="V13" s="15" t="s">
        <v>33</v>
      </c>
      <c r="W13" s="29" t="s">
        <v>33</v>
      </c>
      <c r="X13" s="29" t="s">
        <v>33</v>
      </c>
      <c r="Y13" s="29" t="s">
        <v>33</v>
      </c>
      <c r="Z13" s="29" t="s">
        <v>33</v>
      </c>
      <c r="AA13" s="29" t="s">
        <v>33</v>
      </c>
      <c r="AB13" s="29" t="s">
        <v>33</v>
      </c>
      <c r="AC13" s="29" t="s">
        <v>33</v>
      </c>
      <c r="AD13" s="29" t="s">
        <v>33</v>
      </c>
      <c r="AE13" s="15" t="s">
        <v>35</v>
      </c>
      <c r="AF13" s="15" t="s">
        <v>35</v>
      </c>
      <c r="AG13" s="15" t="s">
        <v>35</v>
      </c>
      <c r="AH13" s="15">
        <f t="shared" si="1"/>
        <v>-15</v>
      </c>
      <c r="AI13" s="15"/>
      <c r="AJ13" s="15" t="s">
        <v>61</v>
      </c>
    </row>
    <row r="14" ht="15.75" customHeight="1">
      <c r="A14" s="15" t="s">
        <v>3407</v>
      </c>
      <c r="B14" s="16" t="s">
        <v>3434</v>
      </c>
      <c r="C14" s="15" t="s">
        <v>3435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5" t="s">
        <v>33</v>
      </c>
      <c r="N14" s="15" t="s">
        <v>33</v>
      </c>
      <c r="O14" s="15" t="s">
        <v>33</v>
      </c>
      <c r="P14" s="15" t="s">
        <v>33</v>
      </c>
      <c r="Q14" s="15" t="s">
        <v>33</v>
      </c>
      <c r="R14" s="15" t="s">
        <v>33</v>
      </c>
      <c r="S14" s="15" t="s">
        <v>33</v>
      </c>
      <c r="T14" s="15" t="s">
        <v>33</v>
      </c>
      <c r="U14" s="15" t="s">
        <v>33</v>
      </c>
      <c r="V14" s="15" t="s">
        <v>33</v>
      </c>
      <c r="W14" s="29" t="s">
        <v>33</v>
      </c>
      <c r="X14" s="29" t="s">
        <v>33</v>
      </c>
      <c r="Y14" s="29" t="s">
        <v>33</v>
      </c>
      <c r="Z14" s="29" t="s">
        <v>33</v>
      </c>
      <c r="AA14" s="29" t="s">
        <v>33</v>
      </c>
      <c r="AB14" s="29" t="s">
        <v>33</v>
      </c>
      <c r="AC14" s="29" t="s">
        <v>33</v>
      </c>
      <c r="AD14" s="29" t="s">
        <v>33</v>
      </c>
      <c r="AE14" s="15" t="s">
        <v>35</v>
      </c>
      <c r="AF14" s="15" t="s">
        <v>35</v>
      </c>
      <c r="AG14" s="15" t="s">
        <v>35</v>
      </c>
      <c r="AH14" s="15">
        <f t="shared" si="1"/>
        <v>-15</v>
      </c>
      <c r="AI14" s="15"/>
      <c r="AJ14" s="15" t="s">
        <v>61</v>
      </c>
    </row>
    <row r="15" ht="15.75" customHeight="1">
      <c r="A15" s="15" t="s">
        <v>3407</v>
      </c>
      <c r="B15" s="16" t="s">
        <v>3436</v>
      </c>
      <c r="C15" s="15" t="s">
        <v>3437</v>
      </c>
      <c r="D15" s="15" t="s">
        <v>33</v>
      </c>
      <c r="E15" s="15" t="s">
        <v>3438</v>
      </c>
      <c r="F15" s="15" t="s">
        <v>33</v>
      </c>
      <c r="G15" s="15" t="s">
        <v>3439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5" t="s">
        <v>33</v>
      </c>
      <c r="N15" s="15" t="s">
        <v>33</v>
      </c>
      <c r="O15" s="15" t="s">
        <v>33</v>
      </c>
      <c r="P15" s="15" t="s">
        <v>33</v>
      </c>
      <c r="Q15" s="15" t="s">
        <v>33</v>
      </c>
      <c r="R15" s="15" t="s">
        <v>33</v>
      </c>
      <c r="S15" s="15" t="s">
        <v>33</v>
      </c>
      <c r="T15" s="15" t="s">
        <v>33</v>
      </c>
      <c r="U15" s="15" t="s">
        <v>33</v>
      </c>
      <c r="V15" s="15" t="s">
        <v>33</v>
      </c>
      <c r="W15" s="29" t="s">
        <v>33</v>
      </c>
      <c r="X15" s="29" t="s">
        <v>33</v>
      </c>
      <c r="Y15" s="29" t="s">
        <v>33</v>
      </c>
      <c r="Z15" s="29" t="s">
        <v>33</v>
      </c>
      <c r="AA15" s="29" t="s">
        <v>33</v>
      </c>
      <c r="AB15" s="29" t="s">
        <v>33</v>
      </c>
      <c r="AC15" s="29" t="s">
        <v>33</v>
      </c>
      <c r="AD15" s="29" t="s">
        <v>33</v>
      </c>
      <c r="AE15" s="15" t="s">
        <v>35</v>
      </c>
      <c r="AF15" s="15" t="s">
        <v>35</v>
      </c>
      <c r="AG15" s="15" t="s">
        <v>35</v>
      </c>
      <c r="AH15" s="15">
        <f t="shared" si="1"/>
        <v>-15</v>
      </c>
      <c r="AI15" s="15"/>
      <c r="AJ15" s="15" t="s">
        <v>61</v>
      </c>
    </row>
    <row r="16" ht="15.75" customHeight="1">
      <c r="A16" s="15" t="s">
        <v>3407</v>
      </c>
      <c r="B16" s="16" t="s">
        <v>3440</v>
      </c>
      <c r="C16" s="15" t="s">
        <v>902</v>
      </c>
      <c r="D16" s="15" t="s">
        <v>33</v>
      </c>
      <c r="E16" s="15" t="s">
        <v>33</v>
      </c>
      <c r="F16" s="15" t="s">
        <v>33</v>
      </c>
      <c r="G16" s="15" t="s">
        <v>33</v>
      </c>
      <c r="H16" s="15" t="s">
        <v>33</v>
      </c>
      <c r="I16" s="15" t="s">
        <v>33</v>
      </c>
      <c r="J16" s="15" t="s">
        <v>33</v>
      </c>
      <c r="K16" s="15" t="s">
        <v>33</v>
      </c>
      <c r="L16" s="15" t="s">
        <v>33</v>
      </c>
      <c r="M16" s="15" t="s">
        <v>33</v>
      </c>
      <c r="N16" s="15" t="s">
        <v>33</v>
      </c>
      <c r="O16" s="15" t="s">
        <v>33</v>
      </c>
      <c r="P16" s="15" t="s">
        <v>33</v>
      </c>
      <c r="Q16" s="15" t="s">
        <v>33</v>
      </c>
      <c r="R16" s="15" t="s">
        <v>33</v>
      </c>
      <c r="S16" s="15" t="s">
        <v>33</v>
      </c>
      <c r="T16" s="15" t="s">
        <v>33</v>
      </c>
      <c r="U16" s="15" t="s">
        <v>33</v>
      </c>
      <c r="V16" s="15" t="s">
        <v>33</v>
      </c>
      <c r="W16" s="29" t="s">
        <v>33</v>
      </c>
      <c r="X16" s="29" t="s">
        <v>33</v>
      </c>
      <c r="Y16" s="29" t="s">
        <v>33</v>
      </c>
      <c r="Z16" s="29" t="s">
        <v>33</v>
      </c>
      <c r="AA16" s="29" t="s">
        <v>33</v>
      </c>
      <c r="AB16" s="29" t="s">
        <v>33</v>
      </c>
      <c r="AC16" s="29" t="s">
        <v>33</v>
      </c>
      <c r="AD16" s="29" t="s">
        <v>33</v>
      </c>
      <c r="AE16" s="15" t="s">
        <v>35</v>
      </c>
      <c r="AF16" s="15" t="s">
        <v>35</v>
      </c>
      <c r="AG16" s="15" t="s">
        <v>35</v>
      </c>
      <c r="AH16" s="15">
        <f t="shared" si="1"/>
        <v>-15</v>
      </c>
      <c r="AI16" s="15"/>
      <c r="AJ16" s="15" t="s">
        <v>61</v>
      </c>
    </row>
    <row r="17" ht="15.75" customHeight="1">
      <c r="A17" s="15" t="s">
        <v>3407</v>
      </c>
      <c r="B17" s="16" t="s">
        <v>3441</v>
      </c>
      <c r="C17" s="15" t="s">
        <v>3442</v>
      </c>
      <c r="D17" s="15" t="s">
        <v>33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33</v>
      </c>
      <c r="K17" s="15" t="s">
        <v>33</v>
      </c>
      <c r="L17" s="15" t="s">
        <v>33</v>
      </c>
      <c r="M17" s="15" t="s">
        <v>33</v>
      </c>
      <c r="N17" s="15" t="s">
        <v>33</v>
      </c>
      <c r="O17" s="15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  <c r="U17" s="15" t="s">
        <v>33</v>
      </c>
      <c r="V17" s="15" t="s">
        <v>33</v>
      </c>
      <c r="W17" s="29" t="s">
        <v>33</v>
      </c>
      <c r="X17" s="29" t="s">
        <v>33</v>
      </c>
      <c r="Y17" s="29" t="s">
        <v>33</v>
      </c>
      <c r="Z17" s="29" t="s">
        <v>33</v>
      </c>
      <c r="AA17" s="29" t="s">
        <v>33</v>
      </c>
      <c r="AB17" s="29" t="s">
        <v>33</v>
      </c>
      <c r="AC17" s="29" t="s">
        <v>33</v>
      </c>
      <c r="AD17" s="29" t="s">
        <v>33</v>
      </c>
      <c r="AE17" s="15" t="s">
        <v>35</v>
      </c>
      <c r="AF17" s="15" t="s">
        <v>35</v>
      </c>
      <c r="AG17" s="15" t="s">
        <v>35</v>
      </c>
      <c r="AH17" s="15">
        <f t="shared" si="1"/>
        <v>-15</v>
      </c>
      <c r="AI17" s="15"/>
      <c r="AJ17" s="15" t="s">
        <v>61</v>
      </c>
    </row>
    <row r="18" ht="15.75" customHeight="1">
      <c r="A18" s="15" t="s">
        <v>3407</v>
      </c>
      <c r="B18" s="16" t="s">
        <v>3443</v>
      </c>
      <c r="C18" s="15" t="s">
        <v>3444</v>
      </c>
      <c r="D18" s="15" t="s">
        <v>33</v>
      </c>
      <c r="E18" s="15" t="s">
        <v>33</v>
      </c>
      <c r="F18" s="15" t="s">
        <v>33</v>
      </c>
      <c r="G18" s="15" t="s">
        <v>33</v>
      </c>
      <c r="H18" s="15" t="s">
        <v>33</v>
      </c>
      <c r="I18" s="15" t="s">
        <v>33</v>
      </c>
      <c r="J18" s="15" t="s">
        <v>33</v>
      </c>
      <c r="K18" s="15" t="s">
        <v>33</v>
      </c>
      <c r="L18" s="15" t="s">
        <v>33</v>
      </c>
      <c r="M18" s="15" t="s">
        <v>33</v>
      </c>
      <c r="N18" s="15" t="s">
        <v>33</v>
      </c>
      <c r="O18" s="15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  <c r="U18" s="15" t="s">
        <v>33</v>
      </c>
      <c r="V18" s="15" t="s">
        <v>33</v>
      </c>
      <c r="W18" s="29" t="s">
        <v>33</v>
      </c>
      <c r="X18" s="29" t="s">
        <v>33</v>
      </c>
      <c r="Y18" s="29" t="s">
        <v>33</v>
      </c>
      <c r="Z18" s="29" t="s">
        <v>33</v>
      </c>
      <c r="AA18" s="29" t="s">
        <v>33</v>
      </c>
      <c r="AB18" s="29" t="s">
        <v>33</v>
      </c>
      <c r="AC18" s="29" t="s">
        <v>33</v>
      </c>
      <c r="AD18" s="29" t="s">
        <v>33</v>
      </c>
      <c r="AE18" s="15" t="s">
        <v>35</v>
      </c>
      <c r="AF18" s="15" t="s">
        <v>35</v>
      </c>
      <c r="AG18" s="15" t="s">
        <v>35</v>
      </c>
      <c r="AH18" s="15">
        <f t="shared" si="1"/>
        <v>-15</v>
      </c>
      <c r="AI18" s="15"/>
      <c r="AJ18" s="15" t="s">
        <v>61</v>
      </c>
    </row>
    <row r="19" ht="15.75" customHeight="1">
      <c r="A19" s="15" t="s">
        <v>3407</v>
      </c>
      <c r="B19" s="16" t="s">
        <v>3445</v>
      </c>
      <c r="C19" s="15" t="s">
        <v>3446</v>
      </c>
      <c r="D19" s="15" t="s">
        <v>33</v>
      </c>
      <c r="E19" s="15" t="s">
        <v>3447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33</v>
      </c>
      <c r="K19" s="15" t="s">
        <v>33</v>
      </c>
      <c r="L19" s="15" t="s">
        <v>33</v>
      </c>
      <c r="M19" s="15" t="s">
        <v>33</v>
      </c>
      <c r="N19" s="15" t="s">
        <v>33</v>
      </c>
      <c r="O19" s="15" t="s">
        <v>33</v>
      </c>
      <c r="P19" s="15" t="s">
        <v>33</v>
      </c>
      <c r="Q19" s="15" t="s">
        <v>33</v>
      </c>
      <c r="R19" s="15" t="s">
        <v>33</v>
      </c>
      <c r="S19" s="15" t="s">
        <v>33</v>
      </c>
      <c r="T19" s="15" t="s">
        <v>33</v>
      </c>
      <c r="U19" s="15" t="s">
        <v>33</v>
      </c>
      <c r="V19" s="15" t="s">
        <v>33</v>
      </c>
      <c r="W19" s="29" t="s">
        <v>33</v>
      </c>
      <c r="X19" s="29" t="s">
        <v>33</v>
      </c>
      <c r="Y19" s="29" t="s">
        <v>33</v>
      </c>
      <c r="Z19" s="29" t="s">
        <v>33</v>
      </c>
      <c r="AA19" s="29" t="s">
        <v>33</v>
      </c>
      <c r="AB19" s="29" t="s">
        <v>33</v>
      </c>
      <c r="AC19" s="29" t="s">
        <v>33</v>
      </c>
      <c r="AD19" s="29" t="s">
        <v>33</v>
      </c>
      <c r="AE19" s="15" t="s">
        <v>35</v>
      </c>
      <c r="AF19" s="15" t="s">
        <v>35</v>
      </c>
      <c r="AG19" s="15" t="s">
        <v>35</v>
      </c>
      <c r="AH19" s="15">
        <f t="shared" si="1"/>
        <v>-15</v>
      </c>
      <c r="AI19" s="15"/>
      <c r="AJ19" s="15" t="s">
        <v>61</v>
      </c>
    </row>
    <row r="20" ht="15.75" customHeight="1">
      <c r="A20" s="15" t="s">
        <v>3407</v>
      </c>
      <c r="B20" s="16" t="s">
        <v>3448</v>
      </c>
      <c r="C20" s="15" t="s">
        <v>3449</v>
      </c>
      <c r="D20" s="15" t="s">
        <v>33</v>
      </c>
      <c r="E20" s="15" t="s">
        <v>33</v>
      </c>
      <c r="F20" s="15" t="s">
        <v>33</v>
      </c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15" t="s">
        <v>33</v>
      </c>
      <c r="M20" s="15" t="s">
        <v>33</v>
      </c>
      <c r="N20" s="15" t="s">
        <v>33</v>
      </c>
      <c r="O20" s="15" t="s">
        <v>33</v>
      </c>
      <c r="P20" s="15" t="s">
        <v>33</v>
      </c>
      <c r="Q20" s="15" t="s">
        <v>33</v>
      </c>
      <c r="R20" s="15" t="s">
        <v>33</v>
      </c>
      <c r="S20" s="15" t="s">
        <v>33</v>
      </c>
      <c r="T20" s="15" t="s">
        <v>33</v>
      </c>
      <c r="U20" s="15" t="s">
        <v>33</v>
      </c>
      <c r="V20" s="15" t="s">
        <v>33</v>
      </c>
      <c r="W20" s="29" t="s">
        <v>33</v>
      </c>
      <c r="X20" s="29" t="s">
        <v>33</v>
      </c>
      <c r="Y20" s="29" t="s">
        <v>33</v>
      </c>
      <c r="Z20" s="29" t="s">
        <v>33</v>
      </c>
      <c r="AA20" s="29" t="s">
        <v>33</v>
      </c>
      <c r="AB20" s="29" t="s">
        <v>33</v>
      </c>
      <c r="AC20" s="29" t="s">
        <v>33</v>
      </c>
      <c r="AD20" s="29" t="s">
        <v>33</v>
      </c>
      <c r="AE20" s="15" t="s">
        <v>35</v>
      </c>
      <c r="AF20" s="15" t="s">
        <v>35</v>
      </c>
      <c r="AG20" s="15" t="s">
        <v>35</v>
      </c>
      <c r="AH20" s="15">
        <f t="shared" si="1"/>
        <v>-15</v>
      </c>
      <c r="AI20" s="15"/>
      <c r="AJ20" s="15" t="s">
        <v>61</v>
      </c>
    </row>
    <row r="21" ht="15.75" customHeight="1">
      <c r="A21" s="15" t="s">
        <v>3407</v>
      </c>
      <c r="B21" s="16" t="s">
        <v>3450</v>
      </c>
      <c r="C21" s="15" t="s">
        <v>254</v>
      </c>
      <c r="D21" s="15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5" t="s">
        <v>33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  <c r="U21" s="15" t="s">
        <v>33</v>
      </c>
      <c r="V21" s="15" t="s">
        <v>33</v>
      </c>
      <c r="W21" s="29" t="s">
        <v>33</v>
      </c>
      <c r="X21" s="29" t="s">
        <v>33</v>
      </c>
      <c r="Y21" s="29" t="s">
        <v>33</v>
      </c>
      <c r="Z21" s="29" t="s">
        <v>33</v>
      </c>
      <c r="AA21" s="29" t="s">
        <v>33</v>
      </c>
      <c r="AB21" s="29" t="s">
        <v>33</v>
      </c>
      <c r="AC21" s="29" t="s">
        <v>33</v>
      </c>
      <c r="AD21" s="29" t="s">
        <v>33</v>
      </c>
      <c r="AE21" s="15" t="s">
        <v>35</v>
      </c>
      <c r="AF21" s="15" t="s">
        <v>35</v>
      </c>
      <c r="AG21" s="15" t="s">
        <v>35</v>
      </c>
      <c r="AH21" s="15">
        <f t="shared" si="1"/>
        <v>-15</v>
      </c>
      <c r="AI21" s="15"/>
      <c r="AJ21" s="15" t="s">
        <v>61</v>
      </c>
    </row>
    <row r="22" ht="15.75" customHeight="1">
      <c r="A22" s="15" t="s">
        <v>3407</v>
      </c>
      <c r="B22" s="16" t="s">
        <v>3451</v>
      </c>
      <c r="C22" s="15" t="s">
        <v>3452</v>
      </c>
      <c r="D22" s="15" t="s">
        <v>33</v>
      </c>
      <c r="E22" s="15" t="s">
        <v>33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33</v>
      </c>
      <c r="K22" s="15" t="s">
        <v>33</v>
      </c>
      <c r="L22" s="15" t="s">
        <v>33</v>
      </c>
      <c r="M22" s="15" t="s">
        <v>33</v>
      </c>
      <c r="N22" s="15" t="s">
        <v>33</v>
      </c>
      <c r="O22" s="15" t="s">
        <v>33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  <c r="U22" s="15" t="s">
        <v>33</v>
      </c>
      <c r="V22" s="15" t="s">
        <v>33</v>
      </c>
      <c r="W22" s="29" t="s">
        <v>33</v>
      </c>
      <c r="X22" s="29" t="s">
        <v>33</v>
      </c>
      <c r="Y22" s="29" t="s">
        <v>33</v>
      </c>
      <c r="Z22" s="29" t="s">
        <v>33</v>
      </c>
      <c r="AA22" s="29" t="s">
        <v>33</v>
      </c>
      <c r="AB22" s="29" t="s">
        <v>33</v>
      </c>
      <c r="AC22" s="29" t="s">
        <v>33</v>
      </c>
      <c r="AD22" s="29" t="s">
        <v>33</v>
      </c>
      <c r="AE22" s="15" t="s">
        <v>35</v>
      </c>
      <c r="AF22" s="15" t="s">
        <v>35</v>
      </c>
      <c r="AG22" s="15" t="s">
        <v>35</v>
      </c>
      <c r="AH22" s="15">
        <f t="shared" si="1"/>
        <v>-15</v>
      </c>
      <c r="AI22" s="15"/>
      <c r="AJ22" s="15" t="s">
        <v>61</v>
      </c>
    </row>
    <row r="23" ht="15.75" customHeight="1">
      <c r="A23" s="15" t="s">
        <v>3407</v>
      </c>
      <c r="B23" s="16" t="s">
        <v>3453</v>
      </c>
      <c r="C23" s="15" t="s">
        <v>3454</v>
      </c>
      <c r="D23" s="15" t="s">
        <v>33</v>
      </c>
      <c r="E23" s="15" t="s">
        <v>33</v>
      </c>
      <c r="F23" s="15" t="s">
        <v>33</v>
      </c>
      <c r="G23" s="15" t="s">
        <v>33</v>
      </c>
      <c r="H23" s="15" t="s">
        <v>33</v>
      </c>
      <c r="I23" s="15" t="s">
        <v>33</v>
      </c>
      <c r="J23" s="15" t="s">
        <v>33</v>
      </c>
      <c r="K23" s="15" t="s">
        <v>33</v>
      </c>
      <c r="L23" s="15" t="s">
        <v>33</v>
      </c>
      <c r="M23" s="15" t="s">
        <v>33</v>
      </c>
      <c r="N23" s="15" t="s">
        <v>33</v>
      </c>
      <c r="O23" s="15" t="s">
        <v>33</v>
      </c>
      <c r="P23" s="15" t="s">
        <v>33</v>
      </c>
      <c r="Q23" s="15" t="s">
        <v>33</v>
      </c>
      <c r="R23" s="15" t="s">
        <v>33</v>
      </c>
      <c r="S23" s="15" t="s">
        <v>33</v>
      </c>
      <c r="T23" s="15" t="s">
        <v>33</v>
      </c>
      <c r="U23" s="15" t="s">
        <v>33</v>
      </c>
      <c r="V23" s="15" t="s">
        <v>33</v>
      </c>
      <c r="W23" s="29" t="s">
        <v>33</v>
      </c>
      <c r="X23" s="29" t="s">
        <v>33</v>
      </c>
      <c r="Y23" s="29" t="s">
        <v>33</v>
      </c>
      <c r="Z23" s="29" t="s">
        <v>33</v>
      </c>
      <c r="AA23" s="29" t="s">
        <v>33</v>
      </c>
      <c r="AB23" s="29" t="s">
        <v>33</v>
      </c>
      <c r="AC23" s="29" t="s">
        <v>33</v>
      </c>
      <c r="AD23" s="29" t="s">
        <v>33</v>
      </c>
      <c r="AE23" s="15" t="s">
        <v>35</v>
      </c>
      <c r="AF23" s="15" t="s">
        <v>35</v>
      </c>
      <c r="AG23" s="15" t="s">
        <v>35</v>
      </c>
      <c r="AH23" s="15">
        <f t="shared" si="1"/>
        <v>-15</v>
      </c>
      <c r="AI23" s="15"/>
      <c r="AJ23" s="15" t="s">
        <v>61</v>
      </c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33" t="s">
        <v>33</v>
      </c>
      <c r="AE24" s="22"/>
      <c r="AF24" s="22"/>
      <c r="AG24" s="22"/>
      <c r="AH24" s="22">
        <f>SUM(AH3:AH23)</f>
        <v>-315</v>
      </c>
      <c r="AI24" s="22"/>
      <c r="A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</hyperlinks>
  <printOptions/>
  <pageMargins bottom="1.0" footer="0.0" header="0.0" left="0.75" right="0.75" top="1.0"/>
  <pageSetup orientation="landscape"/>
  <drawing r:id="rId2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4.29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3455</v>
      </c>
      <c r="B3" s="16" t="s">
        <v>3456</v>
      </c>
      <c r="C3" s="15" t="s">
        <v>3457</v>
      </c>
      <c r="D3" s="15" t="s">
        <v>33</v>
      </c>
      <c r="E3" s="15" t="s">
        <v>33</v>
      </c>
      <c r="F3" s="15" t="s">
        <v>33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 t="s">
        <v>33</v>
      </c>
      <c r="V3" s="15" t="s">
        <v>33</v>
      </c>
      <c r="W3" s="29" t="s">
        <v>33</v>
      </c>
      <c r="X3" s="29" t="s">
        <v>33</v>
      </c>
      <c r="Y3" s="29" t="s">
        <v>33</v>
      </c>
      <c r="Z3" s="29" t="s">
        <v>33</v>
      </c>
      <c r="AA3" s="29" t="s">
        <v>33</v>
      </c>
      <c r="AB3" s="29" t="s">
        <v>33</v>
      </c>
      <c r="AC3" s="29" t="s">
        <v>33</v>
      </c>
      <c r="AD3" s="29" t="s">
        <v>33</v>
      </c>
      <c r="AE3" s="15" t="s">
        <v>35</v>
      </c>
      <c r="AF3" s="15" t="s">
        <v>35</v>
      </c>
      <c r="AG3" s="15" t="s">
        <v>35</v>
      </c>
      <c r="AH3" s="15">
        <f t="shared" ref="AH3:AH7" si="1">IF(AND(AE3="FALSE",AF3="FALSE",AG3="FALSE"),-15,IF(AE3="TRUE",10,IF(AF3="TRUE",5,IF(AG3="TRUE",-10,""))))</f>
        <v>-15</v>
      </c>
      <c r="AI3" s="15"/>
      <c r="AJ3" s="15" t="s">
        <v>61</v>
      </c>
    </row>
    <row r="4" ht="15.75" customHeight="1">
      <c r="A4" s="15" t="s">
        <v>3455</v>
      </c>
      <c r="B4" s="16" t="s">
        <v>3458</v>
      </c>
      <c r="C4" s="15" t="s">
        <v>3459</v>
      </c>
      <c r="D4" s="15" t="s">
        <v>33</v>
      </c>
      <c r="E4" s="15" t="s">
        <v>3460</v>
      </c>
      <c r="F4" s="15" t="s">
        <v>33</v>
      </c>
      <c r="G4" s="15" t="s">
        <v>3461</v>
      </c>
      <c r="H4" s="15" t="s">
        <v>33</v>
      </c>
      <c r="I4" s="15" t="s">
        <v>1795</v>
      </c>
      <c r="J4" s="15" t="s">
        <v>33</v>
      </c>
      <c r="K4" s="15" t="s">
        <v>3462</v>
      </c>
      <c r="L4" s="15" t="s">
        <v>33</v>
      </c>
      <c r="M4" s="15" t="s">
        <v>3463</v>
      </c>
      <c r="N4" s="15" t="s">
        <v>33</v>
      </c>
      <c r="O4" s="15" t="s">
        <v>3464</v>
      </c>
      <c r="P4" s="15" t="s">
        <v>33</v>
      </c>
      <c r="Q4" s="15" t="s">
        <v>3465</v>
      </c>
      <c r="R4" s="15" t="s">
        <v>33</v>
      </c>
      <c r="S4" s="15" t="s">
        <v>33</v>
      </c>
      <c r="T4" s="15" t="s">
        <v>33</v>
      </c>
      <c r="U4" s="15" t="s">
        <v>33</v>
      </c>
      <c r="V4" s="15" t="s">
        <v>33</v>
      </c>
      <c r="W4" s="29" t="s">
        <v>33</v>
      </c>
      <c r="X4" s="29" t="s">
        <v>33</v>
      </c>
      <c r="Y4" s="29" t="s">
        <v>33</v>
      </c>
      <c r="Z4" s="29" t="s">
        <v>33</v>
      </c>
      <c r="AA4" s="29" t="s">
        <v>33</v>
      </c>
      <c r="AB4" s="29" t="s">
        <v>33</v>
      </c>
      <c r="AC4" s="29" t="s">
        <v>33</v>
      </c>
      <c r="AD4" s="29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3455</v>
      </c>
      <c r="B5" s="16" t="s">
        <v>3466</v>
      </c>
      <c r="C5" s="15" t="s">
        <v>3467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15" t="s">
        <v>33</v>
      </c>
      <c r="V5" s="15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29" t="s">
        <v>33</v>
      </c>
      <c r="AB5" s="29" t="s">
        <v>33</v>
      </c>
      <c r="AC5" s="29" t="s">
        <v>33</v>
      </c>
      <c r="AD5" s="29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 ht="15.75" customHeight="1">
      <c r="A6" s="15" t="s">
        <v>3455</v>
      </c>
      <c r="B6" s="16" t="s">
        <v>3468</v>
      </c>
      <c r="C6" s="15" t="s">
        <v>3469</v>
      </c>
      <c r="D6" s="15" t="s">
        <v>33</v>
      </c>
      <c r="E6" s="15" t="s">
        <v>33</v>
      </c>
      <c r="F6" s="15" t="s">
        <v>33</v>
      </c>
      <c r="G6" s="15" t="s">
        <v>33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 t="s">
        <v>33</v>
      </c>
      <c r="V6" s="15" t="s">
        <v>33</v>
      </c>
      <c r="W6" s="29" t="s">
        <v>33</v>
      </c>
      <c r="X6" s="29" t="s">
        <v>33</v>
      </c>
      <c r="Y6" s="29" t="s">
        <v>33</v>
      </c>
      <c r="Z6" s="29" t="s">
        <v>33</v>
      </c>
      <c r="AA6" s="29" t="s">
        <v>33</v>
      </c>
      <c r="AB6" s="29" t="s">
        <v>33</v>
      </c>
      <c r="AC6" s="29" t="s">
        <v>33</v>
      </c>
      <c r="AD6" s="29" t="s">
        <v>33</v>
      </c>
      <c r="AE6" s="15" t="s">
        <v>35</v>
      </c>
      <c r="AF6" s="15" t="s">
        <v>35</v>
      </c>
      <c r="AG6" s="15" t="s">
        <v>35</v>
      </c>
      <c r="AH6" s="15">
        <f t="shared" si="1"/>
        <v>-15</v>
      </c>
      <c r="AI6" s="15"/>
      <c r="AJ6" s="15" t="s">
        <v>61</v>
      </c>
    </row>
    <row r="7" ht="15.75" customHeight="1">
      <c r="A7" s="15" t="s">
        <v>3455</v>
      </c>
      <c r="B7" s="16" t="s">
        <v>3470</v>
      </c>
      <c r="C7" s="15" t="s">
        <v>3471</v>
      </c>
      <c r="D7" s="15" t="s">
        <v>33</v>
      </c>
      <c r="E7" s="15" t="s">
        <v>33</v>
      </c>
      <c r="F7" s="15" t="s">
        <v>33</v>
      </c>
      <c r="G7" s="15" t="s">
        <v>33</v>
      </c>
      <c r="H7" s="15" t="s">
        <v>33</v>
      </c>
      <c r="I7" s="15" t="s">
        <v>33</v>
      </c>
      <c r="J7" s="15" t="s">
        <v>33</v>
      </c>
      <c r="K7" s="15" t="s">
        <v>33</v>
      </c>
      <c r="L7" s="15" t="s">
        <v>33</v>
      </c>
      <c r="M7" s="15" t="s">
        <v>33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 t="s">
        <v>33</v>
      </c>
      <c r="V7" s="15" t="s">
        <v>33</v>
      </c>
      <c r="W7" s="29" t="s">
        <v>33</v>
      </c>
      <c r="X7" s="29" t="s">
        <v>33</v>
      </c>
      <c r="Y7" s="29" t="s">
        <v>33</v>
      </c>
      <c r="Z7" s="29" t="s">
        <v>33</v>
      </c>
      <c r="AA7" s="29" t="s">
        <v>33</v>
      </c>
      <c r="AB7" s="29" t="s">
        <v>33</v>
      </c>
      <c r="AC7" s="29" t="s">
        <v>33</v>
      </c>
      <c r="AD7" s="29" t="s">
        <v>33</v>
      </c>
      <c r="AE7" s="15" t="s">
        <v>35</v>
      </c>
      <c r="AF7" s="15" t="s">
        <v>35</v>
      </c>
      <c r="AG7" s="15" t="s">
        <v>35</v>
      </c>
      <c r="AH7" s="15">
        <f t="shared" si="1"/>
        <v>-15</v>
      </c>
      <c r="AI7" s="15"/>
      <c r="AJ7" s="15" t="s">
        <v>61</v>
      </c>
    </row>
    <row r="8">
      <c r="AD8" s="30" t="s">
        <v>33</v>
      </c>
      <c r="AH8" s="21">
        <f>SUM(AH3:AH7)</f>
        <v>-75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3"/>
    <hyperlink r:id="rId2" ref="B4"/>
    <hyperlink r:id="rId3" ref="B5"/>
    <hyperlink r:id="rId4" ref="B6"/>
    <hyperlink r:id="rId5" ref="B7"/>
  </hyperlinks>
  <printOptions/>
  <pageMargins bottom="1.0" footer="0.0" header="0.0" left="0.75" right="0.75" top="1.0"/>
  <pageSetup orientation="landscape"/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69.29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3472</v>
      </c>
      <c r="B3" s="16" t="s">
        <v>3473</v>
      </c>
      <c r="C3" s="15" t="s">
        <v>3474</v>
      </c>
      <c r="D3" s="15" t="s">
        <v>3475</v>
      </c>
      <c r="E3" s="15" t="s">
        <v>3476</v>
      </c>
      <c r="F3" s="15" t="s">
        <v>3477</v>
      </c>
      <c r="G3" s="15" t="s">
        <v>33</v>
      </c>
      <c r="H3" s="15" t="s">
        <v>3478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>TEXT(D3-C3,"[mm]")/60</f>
        <v>41.85</v>
      </c>
      <c r="V3" s="15">
        <f>TEXT(F3-E3,"[mm]")/60</f>
        <v>13.4</v>
      </c>
      <c r="W3" s="15" t="s">
        <v>33</v>
      </c>
      <c r="X3" s="15" t="s">
        <v>33</v>
      </c>
      <c r="Y3" s="15" t="s">
        <v>33</v>
      </c>
      <c r="Z3" s="15" t="s">
        <v>33</v>
      </c>
      <c r="AA3" s="15" t="s">
        <v>33</v>
      </c>
      <c r="AB3" s="15" t="s">
        <v>33</v>
      </c>
      <c r="AC3" s="15" t="s">
        <v>33</v>
      </c>
      <c r="AD3" s="15">
        <f>AVERAGE(U3:AC3)</f>
        <v>27.625</v>
      </c>
      <c r="AE3" s="15" t="s">
        <v>35</v>
      </c>
      <c r="AF3" s="15" t="s">
        <v>34</v>
      </c>
      <c r="AG3" s="15" t="s">
        <v>35</v>
      </c>
      <c r="AH3" s="15">
        <f t="shared" ref="AH3:AH5" si="1">IF(AND(AE3="FALSE",AF3="FALSE",AG3="FALSE"),-15,IF(AE3="TRUE",10,IF(AF3="TRUE",5,IF(AG3="TRUE",-10,""))))</f>
        <v>5</v>
      </c>
      <c r="AI3" s="15"/>
      <c r="AJ3" s="15" t="s">
        <v>61</v>
      </c>
    </row>
    <row r="4" ht="15.75" customHeight="1">
      <c r="A4" s="15" t="s">
        <v>3472</v>
      </c>
      <c r="B4" s="16" t="s">
        <v>3479</v>
      </c>
      <c r="C4" s="15" t="s">
        <v>3480</v>
      </c>
      <c r="D4" s="15" t="s">
        <v>33</v>
      </c>
      <c r="E4" s="15" t="s">
        <v>33</v>
      </c>
      <c r="F4" s="15" t="s">
        <v>33</v>
      </c>
      <c r="G4" s="15" t="s">
        <v>33</v>
      </c>
      <c r="H4" s="15" t="s">
        <v>33</v>
      </c>
      <c r="I4" s="15" t="s">
        <v>33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20" t="s">
        <v>33</v>
      </c>
      <c r="V4" s="20" t="s">
        <v>33</v>
      </c>
      <c r="W4" s="15" t="s">
        <v>33</v>
      </c>
      <c r="X4" s="15" t="s">
        <v>33</v>
      </c>
      <c r="Y4" s="15" t="s">
        <v>33</v>
      </c>
      <c r="Z4" s="15" t="s">
        <v>33</v>
      </c>
      <c r="AA4" s="15" t="s">
        <v>33</v>
      </c>
      <c r="AB4" s="15" t="s">
        <v>33</v>
      </c>
      <c r="AC4" s="15" t="s">
        <v>33</v>
      </c>
      <c r="AD4" s="20" t="s">
        <v>33</v>
      </c>
      <c r="AE4" s="15" t="s">
        <v>35</v>
      </c>
      <c r="AF4" s="15" t="s">
        <v>35</v>
      </c>
      <c r="AG4" s="15" t="s">
        <v>35</v>
      </c>
      <c r="AH4" s="15">
        <f t="shared" si="1"/>
        <v>-15</v>
      </c>
      <c r="AI4" s="15"/>
      <c r="AJ4" s="15" t="s">
        <v>61</v>
      </c>
    </row>
    <row r="5" ht="15.75" customHeight="1">
      <c r="A5" s="15" t="s">
        <v>3472</v>
      </c>
      <c r="B5" s="16" t="s">
        <v>3481</v>
      </c>
      <c r="C5" s="15" t="s">
        <v>3482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15" t="s">
        <v>33</v>
      </c>
      <c r="X5" s="15" t="s">
        <v>33</v>
      </c>
      <c r="Y5" s="15" t="s">
        <v>33</v>
      </c>
      <c r="Z5" s="15" t="s">
        <v>33</v>
      </c>
      <c r="AA5" s="15" t="s">
        <v>33</v>
      </c>
      <c r="AB5" s="15" t="s">
        <v>33</v>
      </c>
      <c r="AC5" s="15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1"/>
        <v>-15</v>
      </c>
      <c r="AI5" s="15"/>
      <c r="AJ5" s="15" t="s">
        <v>61</v>
      </c>
    </row>
    <row r="6">
      <c r="AD6" s="21">
        <f>AVERAGE(AD3:AD5)</f>
        <v>27.625</v>
      </c>
      <c r="AH6" s="21">
        <f>sum(AH3:AH5)</f>
        <v>-25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3"/>
    <hyperlink r:id="rId2" ref="B4"/>
    <hyperlink r:id="rId3" ref="B5"/>
  </hyperlinks>
  <printOptions/>
  <pageMargins bottom="1.0" footer="0.0" header="0.0" left="0.75" right="0.75" top="1.0"/>
  <pageSetup orientation="landscape"/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71.71"/>
    <col customWidth="1" min="3" max="20" width="16.0"/>
    <col customWidth="1" min="21" max="36" width="14.0"/>
  </cols>
  <sheetData>
    <row r="1" ht="30.0" customHeight="1">
      <c r="A1" s="13" t="s">
        <v>0</v>
      </c>
      <c r="B1" s="13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  <c r="M1" s="13" t="s">
        <v>7</v>
      </c>
      <c r="N1" s="13"/>
      <c r="O1" s="13" t="s">
        <v>8</v>
      </c>
      <c r="P1" s="13"/>
      <c r="Q1" s="13" t="s">
        <v>9</v>
      </c>
      <c r="R1" s="13"/>
      <c r="S1" s="13" t="s">
        <v>10</v>
      </c>
      <c r="T1" s="13"/>
      <c r="U1" s="13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14" t="s">
        <v>20</v>
      </c>
      <c r="AE1" s="13" t="s">
        <v>21</v>
      </c>
      <c r="AF1" s="13" t="s">
        <v>22</v>
      </c>
      <c r="AG1" s="13" t="s">
        <v>23</v>
      </c>
      <c r="AH1" s="13" t="s">
        <v>24</v>
      </c>
      <c r="AI1" s="13" t="s">
        <v>25</v>
      </c>
      <c r="AJ1" s="13" t="s">
        <v>26</v>
      </c>
    </row>
    <row r="2" ht="21.75" customHeight="1">
      <c r="A2" s="13" t="s">
        <v>0</v>
      </c>
      <c r="B2" s="13" t="s">
        <v>1</v>
      </c>
      <c r="C2" s="13" t="s">
        <v>27</v>
      </c>
      <c r="D2" s="13" t="s">
        <v>0</v>
      </c>
      <c r="E2" s="13" t="s">
        <v>27</v>
      </c>
      <c r="F2" s="13" t="s">
        <v>0</v>
      </c>
      <c r="G2" s="13" t="s">
        <v>27</v>
      </c>
      <c r="H2" s="13" t="s">
        <v>0</v>
      </c>
      <c r="I2" s="13" t="s">
        <v>27</v>
      </c>
      <c r="J2" s="13" t="s">
        <v>0</v>
      </c>
      <c r="K2" s="13" t="s">
        <v>27</v>
      </c>
      <c r="L2" s="13" t="s">
        <v>0</v>
      </c>
      <c r="M2" s="13" t="s">
        <v>27</v>
      </c>
      <c r="N2" s="13" t="s">
        <v>0</v>
      </c>
      <c r="O2" s="13" t="s">
        <v>27</v>
      </c>
      <c r="P2" s="13" t="s">
        <v>0</v>
      </c>
      <c r="Q2" s="13" t="s">
        <v>27</v>
      </c>
      <c r="R2" s="13" t="s">
        <v>0</v>
      </c>
      <c r="S2" s="13" t="s">
        <v>27</v>
      </c>
      <c r="T2" s="13" t="s">
        <v>0</v>
      </c>
      <c r="U2" s="13" t="s">
        <v>11</v>
      </c>
      <c r="V2" s="13"/>
      <c r="W2" s="13"/>
      <c r="X2" s="13"/>
      <c r="Y2" s="13"/>
      <c r="Z2" s="13"/>
      <c r="AA2" s="13"/>
      <c r="AB2" s="13"/>
      <c r="AC2" s="13"/>
      <c r="AD2" s="13"/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</row>
    <row r="3" ht="15.75" customHeight="1">
      <c r="A3" s="15" t="s">
        <v>3483</v>
      </c>
      <c r="B3" s="16" t="s">
        <v>3484</v>
      </c>
      <c r="C3" s="15" t="s">
        <v>3485</v>
      </c>
      <c r="D3" s="15" t="s">
        <v>3486</v>
      </c>
      <c r="E3" s="15" t="s">
        <v>33</v>
      </c>
      <c r="F3" s="15" t="s">
        <v>1937</v>
      </c>
      <c r="G3" s="15" t="s">
        <v>33</v>
      </c>
      <c r="H3" s="15" t="s">
        <v>33</v>
      </c>
      <c r="I3" s="15" t="s">
        <v>33</v>
      </c>
      <c r="J3" s="15" t="s">
        <v>33</v>
      </c>
      <c r="K3" s="15" t="s">
        <v>33</v>
      </c>
      <c r="L3" s="15" t="s">
        <v>33</v>
      </c>
      <c r="M3" s="15" t="s">
        <v>33</v>
      </c>
      <c r="N3" s="15" t="s">
        <v>33</v>
      </c>
      <c r="O3" s="15" t="s">
        <v>33</v>
      </c>
      <c r="P3" s="15" t="s">
        <v>33</v>
      </c>
      <c r="Q3" s="15" t="s">
        <v>33</v>
      </c>
      <c r="R3" s="15" t="s">
        <v>33</v>
      </c>
      <c r="S3" s="15" t="s">
        <v>33</v>
      </c>
      <c r="T3" s="15" t="s">
        <v>33</v>
      </c>
      <c r="U3" s="15">
        <f t="shared" ref="U3:U4" si="1">TEXT(D3-C3,"[mm]")/60</f>
        <v>0.05</v>
      </c>
      <c r="V3" s="20" t="s">
        <v>33</v>
      </c>
      <c r="W3" s="20" t="s">
        <v>33</v>
      </c>
      <c r="X3" s="20" t="s">
        <v>33</v>
      </c>
      <c r="Y3" s="20" t="s">
        <v>33</v>
      </c>
      <c r="Z3" s="20" t="s">
        <v>33</v>
      </c>
      <c r="AA3" s="20" t="s">
        <v>33</v>
      </c>
      <c r="AB3" s="20" t="s">
        <v>33</v>
      </c>
      <c r="AC3" s="20" t="s">
        <v>33</v>
      </c>
      <c r="AD3" s="15">
        <f t="shared" ref="AD3:AD4" si="2">AVERAGE(U3:AC3)</f>
        <v>0.05</v>
      </c>
      <c r="AE3" s="15" t="s">
        <v>34</v>
      </c>
      <c r="AF3" s="15" t="s">
        <v>35</v>
      </c>
      <c r="AG3" s="15" t="s">
        <v>35</v>
      </c>
      <c r="AH3" s="15">
        <f t="shared" ref="AH3:AH9" si="3">IF(AND(AE3="FALSE",AF3="FALSE",AG3="FALSE"),-15,IF(AE3="TRUE",10,IF(AF3="TRUE",5,IF(AG3="TRUE",-10,""))))</f>
        <v>10</v>
      </c>
      <c r="AI3" s="15"/>
      <c r="AJ3" s="15" t="s">
        <v>61</v>
      </c>
    </row>
    <row r="4" ht="15.75" customHeight="1">
      <c r="A4" s="15" t="s">
        <v>3483</v>
      </c>
      <c r="B4" s="16" t="s">
        <v>3487</v>
      </c>
      <c r="C4" s="15" t="s">
        <v>2393</v>
      </c>
      <c r="D4" s="15" t="s">
        <v>3488</v>
      </c>
      <c r="E4" s="15" t="s">
        <v>3489</v>
      </c>
      <c r="F4" s="15" t="s">
        <v>3490</v>
      </c>
      <c r="G4" s="15" t="s">
        <v>3491</v>
      </c>
      <c r="H4" s="15" t="s">
        <v>3492</v>
      </c>
      <c r="I4" s="15" t="s">
        <v>3493</v>
      </c>
      <c r="J4" s="15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5" t="s">
        <v>33</v>
      </c>
      <c r="P4" s="15" t="s">
        <v>33</v>
      </c>
      <c r="Q4" s="15" t="s">
        <v>33</v>
      </c>
      <c r="R4" s="15" t="s">
        <v>33</v>
      </c>
      <c r="S4" s="15" t="s">
        <v>33</v>
      </c>
      <c r="T4" s="15" t="s">
        <v>33</v>
      </c>
      <c r="U4" s="15">
        <f t="shared" si="1"/>
        <v>0.06666666667</v>
      </c>
      <c r="V4" s="15">
        <f>TEXT(F4-E4,"[mm]")/60</f>
        <v>1.466666667</v>
      </c>
      <c r="W4" s="15">
        <f>TEXT(H4-G4,"[mm]")/60</f>
        <v>94.33333333</v>
      </c>
      <c r="X4" s="20" t="s">
        <v>33</v>
      </c>
      <c r="Y4" s="20" t="s">
        <v>33</v>
      </c>
      <c r="Z4" s="20" t="s">
        <v>33</v>
      </c>
      <c r="AA4" s="20" t="s">
        <v>33</v>
      </c>
      <c r="AB4" s="20" t="s">
        <v>33</v>
      </c>
      <c r="AC4" s="20" t="s">
        <v>33</v>
      </c>
      <c r="AD4" s="15">
        <f t="shared" si="2"/>
        <v>31.95555556</v>
      </c>
      <c r="AE4" s="15" t="s">
        <v>34</v>
      </c>
      <c r="AF4" s="15" t="s">
        <v>35</v>
      </c>
      <c r="AG4" s="15" t="s">
        <v>35</v>
      </c>
      <c r="AH4" s="15">
        <f t="shared" si="3"/>
        <v>10</v>
      </c>
      <c r="AI4" s="15"/>
      <c r="AJ4" s="15" t="s">
        <v>61</v>
      </c>
    </row>
    <row r="5" ht="15.75" customHeight="1">
      <c r="A5" s="15" t="s">
        <v>3483</v>
      </c>
      <c r="B5" s="16" t="s">
        <v>3494</v>
      </c>
      <c r="C5" s="15" t="s">
        <v>3495</v>
      </c>
      <c r="D5" s="15" t="s">
        <v>33</v>
      </c>
      <c r="E5" s="15" t="s">
        <v>33</v>
      </c>
      <c r="F5" s="15" t="s">
        <v>33</v>
      </c>
      <c r="G5" s="15" t="s">
        <v>33</v>
      </c>
      <c r="H5" s="15" t="s">
        <v>33</v>
      </c>
      <c r="I5" s="15" t="s">
        <v>33</v>
      </c>
      <c r="J5" s="15" t="s">
        <v>33</v>
      </c>
      <c r="K5" s="15" t="s">
        <v>33</v>
      </c>
      <c r="L5" s="15" t="s">
        <v>33</v>
      </c>
      <c r="M5" s="15" t="s">
        <v>33</v>
      </c>
      <c r="N5" s="15" t="s">
        <v>33</v>
      </c>
      <c r="O5" s="15" t="s">
        <v>33</v>
      </c>
      <c r="P5" s="15" t="s">
        <v>33</v>
      </c>
      <c r="Q5" s="15" t="s">
        <v>33</v>
      </c>
      <c r="R5" s="15" t="s">
        <v>33</v>
      </c>
      <c r="S5" s="15" t="s">
        <v>33</v>
      </c>
      <c r="T5" s="15" t="s">
        <v>33</v>
      </c>
      <c r="U5" s="20" t="s">
        <v>33</v>
      </c>
      <c r="V5" s="20" t="s">
        <v>33</v>
      </c>
      <c r="W5" s="20" t="s">
        <v>33</v>
      </c>
      <c r="X5" s="20" t="s">
        <v>33</v>
      </c>
      <c r="Y5" s="20" t="s">
        <v>33</v>
      </c>
      <c r="Z5" s="20" t="s">
        <v>33</v>
      </c>
      <c r="AA5" s="20" t="s">
        <v>33</v>
      </c>
      <c r="AB5" s="20" t="s">
        <v>33</v>
      </c>
      <c r="AC5" s="20" t="s">
        <v>33</v>
      </c>
      <c r="AD5" s="20" t="s">
        <v>33</v>
      </c>
      <c r="AE5" s="15" t="s">
        <v>35</v>
      </c>
      <c r="AF5" s="15" t="s">
        <v>35</v>
      </c>
      <c r="AG5" s="15" t="s">
        <v>35</v>
      </c>
      <c r="AH5" s="15">
        <f t="shared" si="3"/>
        <v>-15</v>
      </c>
      <c r="AI5" s="15"/>
      <c r="AJ5" s="15" t="s">
        <v>61</v>
      </c>
    </row>
    <row r="6" ht="15.75" customHeight="1">
      <c r="A6" s="15" t="s">
        <v>3483</v>
      </c>
      <c r="B6" s="16" t="s">
        <v>3496</v>
      </c>
      <c r="C6" s="15" t="s">
        <v>3497</v>
      </c>
      <c r="D6" s="15" t="s">
        <v>3498</v>
      </c>
      <c r="E6" s="19">
        <v>46136.7875</v>
      </c>
      <c r="F6" s="19">
        <v>46140.81319444445</v>
      </c>
      <c r="G6" s="15" t="s">
        <v>33</v>
      </c>
      <c r="H6" s="15" t="s">
        <v>3499</v>
      </c>
      <c r="I6" s="15" t="s">
        <v>33</v>
      </c>
      <c r="J6" s="15" t="s">
        <v>33</v>
      </c>
      <c r="K6" s="15" t="s">
        <v>33</v>
      </c>
      <c r="L6" s="15" t="s">
        <v>33</v>
      </c>
      <c r="M6" s="15" t="s">
        <v>33</v>
      </c>
      <c r="N6" s="15" t="s">
        <v>33</v>
      </c>
      <c r="O6" s="15" t="s">
        <v>33</v>
      </c>
      <c r="P6" s="15" t="s">
        <v>33</v>
      </c>
      <c r="Q6" s="15" t="s">
        <v>33</v>
      </c>
      <c r="R6" s="15" t="s">
        <v>33</v>
      </c>
      <c r="S6" s="15" t="s">
        <v>33</v>
      </c>
      <c r="T6" s="15" t="s">
        <v>33</v>
      </c>
      <c r="U6" s="15">
        <f t="shared" ref="U6:U9" si="4">TEXT(D6-C6,"[mm]")/60</f>
        <v>0.06666666667</v>
      </c>
      <c r="V6" s="15">
        <f>TEXT(F6-E6,"[mm]")/60</f>
        <v>96.61666667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5">
        <f t="shared" ref="AD6:AD9" si="5">AVERAGE(U6:AC6)</f>
        <v>48.34166667</v>
      </c>
      <c r="AE6" s="15" t="s">
        <v>34</v>
      </c>
      <c r="AF6" s="15" t="s">
        <v>35</v>
      </c>
      <c r="AG6" s="15" t="s">
        <v>35</v>
      </c>
      <c r="AH6" s="15">
        <f t="shared" si="3"/>
        <v>10</v>
      </c>
      <c r="AI6" s="15"/>
      <c r="AJ6" s="15" t="s">
        <v>61</v>
      </c>
    </row>
    <row r="7" ht="15.75" customHeight="1">
      <c r="A7" s="15" t="s">
        <v>3483</v>
      </c>
      <c r="B7" s="16" t="s">
        <v>3500</v>
      </c>
      <c r="C7" s="15" t="s">
        <v>3501</v>
      </c>
      <c r="D7" s="15" t="s">
        <v>3502</v>
      </c>
      <c r="E7" s="15" t="s">
        <v>3503</v>
      </c>
      <c r="F7" s="15" t="s">
        <v>33</v>
      </c>
      <c r="G7" s="15" t="s">
        <v>3504</v>
      </c>
      <c r="H7" s="15" t="s">
        <v>33</v>
      </c>
      <c r="I7" s="15" t="s">
        <v>3505</v>
      </c>
      <c r="J7" s="15" t="s">
        <v>33</v>
      </c>
      <c r="K7" s="15" t="s">
        <v>2191</v>
      </c>
      <c r="L7" s="15" t="s">
        <v>33</v>
      </c>
      <c r="M7" s="15" t="s">
        <v>3506</v>
      </c>
      <c r="N7" s="15" t="s">
        <v>33</v>
      </c>
      <c r="O7" s="15" t="s">
        <v>33</v>
      </c>
      <c r="P7" s="15" t="s">
        <v>33</v>
      </c>
      <c r="Q7" s="15" t="s">
        <v>33</v>
      </c>
      <c r="R7" s="15" t="s">
        <v>33</v>
      </c>
      <c r="S7" s="15" t="s">
        <v>33</v>
      </c>
      <c r="T7" s="15" t="s">
        <v>33</v>
      </c>
      <c r="U7" s="15">
        <f t="shared" si="4"/>
        <v>0.06666666667</v>
      </c>
      <c r="V7" s="20" t="s">
        <v>33</v>
      </c>
      <c r="W7" s="20" t="s">
        <v>33</v>
      </c>
      <c r="X7" s="20" t="s">
        <v>33</v>
      </c>
      <c r="Y7" s="20" t="s">
        <v>33</v>
      </c>
      <c r="Z7" s="20" t="s">
        <v>33</v>
      </c>
      <c r="AA7" s="20" t="s">
        <v>33</v>
      </c>
      <c r="AB7" s="20" t="s">
        <v>33</v>
      </c>
      <c r="AC7" s="20" t="s">
        <v>33</v>
      </c>
      <c r="AD7" s="15">
        <f t="shared" si="5"/>
        <v>0.06666666667</v>
      </c>
      <c r="AE7" s="15" t="s">
        <v>34</v>
      </c>
      <c r="AF7" s="15" t="s">
        <v>35</v>
      </c>
      <c r="AG7" s="15" t="s">
        <v>35</v>
      </c>
      <c r="AH7" s="15">
        <f t="shared" si="3"/>
        <v>10</v>
      </c>
      <c r="AI7" s="15"/>
      <c r="AJ7" s="15" t="s">
        <v>61</v>
      </c>
    </row>
    <row r="8" ht="15.75" customHeight="1">
      <c r="A8" s="15" t="s">
        <v>3483</v>
      </c>
      <c r="B8" s="16" t="s">
        <v>3507</v>
      </c>
      <c r="C8" s="15" t="s">
        <v>3508</v>
      </c>
      <c r="D8" s="15" t="s">
        <v>3509</v>
      </c>
      <c r="E8" s="15" t="s">
        <v>33</v>
      </c>
      <c r="F8" s="15" t="s">
        <v>3510</v>
      </c>
      <c r="G8" s="15" t="s">
        <v>33</v>
      </c>
      <c r="H8" s="15" t="s">
        <v>33</v>
      </c>
      <c r="I8" s="15" t="s">
        <v>33</v>
      </c>
      <c r="J8" s="15" t="s">
        <v>33</v>
      </c>
      <c r="K8" s="15" t="s">
        <v>33</v>
      </c>
      <c r="L8" s="15" t="s">
        <v>33</v>
      </c>
      <c r="M8" s="15" t="s">
        <v>33</v>
      </c>
      <c r="N8" s="15" t="s">
        <v>33</v>
      </c>
      <c r="O8" s="15" t="s">
        <v>33</v>
      </c>
      <c r="P8" s="15" t="s">
        <v>33</v>
      </c>
      <c r="Q8" s="15" t="s">
        <v>33</v>
      </c>
      <c r="R8" s="15" t="s">
        <v>33</v>
      </c>
      <c r="S8" s="15" t="s">
        <v>33</v>
      </c>
      <c r="T8" s="15" t="s">
        <v>33</v>
      </c>
      <c r="U8" s="15">
        <f t="shared" si="4"/>
        <v>9.05</v>
      </c>
      <c r="V8" s="20" t="s">
        <v>33</v>
      </c>
      <c r="W8" s="20" t="s">
        <v>33</v>
      </c>
      <c r="X8" s="20" t="s">
        <v>33</v>
      </c>
      <c r="Y8" s="20" t="s">
        <v>33</v>
      </c>
      <c r="Z8" s="20" t="s">
        <v>33</v>
      </c>
      <c r="AA8" s="20" t="s">
        <v>33</v>
      </c>
      <c r="AB8" s="20" t="s">
        <v>33</v>
      </c>
      <c r="AC8" s="20" t="s">
        <v>33</v>
      </c>
      <c r="AD8" s="15">
        <f t="shared" si="5"/>
        <v>9.05</v>
      </c>
      <c r="AE8" s="15" t="s">
        <v>34</v>
      </c>
      <c r="AF8" s="15" t="s">
        <v>35</v>
      </c>
      <c r="AG8" s="15" t="s">
        <v>35</v>
      </c>
      <c r="AH8" s="15">
        <f t="shared" si="3"/>
        <v>10</v>
      </c>
      <c r="AI8" s="15"/>
      <c r="AJ8" s="15" t="s">
        <v>61</v>
      </c>
    </row>
    <row r="9" ht="15.75" customHeight="1">
      <c r="A9" s="15" t="s">
        <v>3483</v>
      </c>
      <c r="B9" s="16" t="s">
        <v>3511</v>
      </c>
      <c r="C9" s="15" t="s">
        <v>3512</v>
      </c>
      <c r="D9" s="15" t="s">
        <v>3513</v>
      </c>
      <c r="E9" s="15" t="s">
        <v>33</v>
      </c>
      <c r="F9" s="15" t="s">
        <v>33</v>
      </c>
      <c r="G9" s="15" t="s">
        <v>33</v>
      </c>
      <c r="H9" s="15" t="s">
        <v>33</v>
      </c>
      <c r="I9" s="15" t="s">
        <v>33</v>
      </c>
      <c r="J9" s="15" t="s">
        <v>33</v>
      </c>
      <c r="K9" s="15" t="s">
        <v>33</v>
      </c>
      <c r="L9" s="15" t="s">
        <v>33</v>
      </c>
      <c r="M9" s="15" t="s">
        <v>33</v>
      </c>
      <c r="N9" s="15" t="s">
        <v>33</v>
      </c>
      <c r="O9" s="15" t="s">
        <v>33</v>
      </c>
      <c r="P9" s="15" t="s">
        <v>33</v>
      </c>
      <c r="Q9" s="15" t="s">
        <v>33</v>
      </c>
      <c r="R9" s="15" t="s">
        <v>33</v>
      </c>
      <c r="S9" s="15" t="s">
        <v>33</v>
      </c>
      <c r="T9" s="15" t="s">
        <v>33</v>
      </c>
      <c r="U9" s="15">
        <f t="shared" si="4"/>
        <v>0.1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15">
        <f t="shared" si="5"/>
        <v>0.1</v>
      </c>
      <c r="AE9" s="15" t="s">
        <v>34</v>
      </c>
      <c r="AF9" s="15" t="s">
        <v>35</v>
      </c>
      <c r="AG9" s="15" t="s">
        <v>35</v>
      </c>
      <c r="AH9" s="15">
        <f t="shared" si="3"/>
        <v>10</v>
      </c>
      <c r="AI9" s="15"/>
      <c r="AJ9" s="15" t="s">
        <v>61</v>
      </c>
    </row>
    <row r="10">
      <c r="AD10" s="21">
        <f>AVERAGE(AD2:AD9)</f>
        <v>14.92731481</v>
      </c>
      <c r="AH10" s="21">
        <f>sum(AH3:AH9)</f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printOptions/>
  <pageMargins bottom="1.0" footer="0.0" header="0.0" left="0.75" right="0.75" top="1.0"/>
  <pageSetup orientation="landscape"/>
  <drawing r:id="rId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 t="s">
        <v>0</v>
      </c>
      <c r="B1" s="34" t="s">
        <v>1</v>
      </c>
      <c r="C1" s="34" t="s">
        <v>2</v>
      </c>
      <c r="D1" s="35"/>
      <c r="E1" s="34" t="s">
        <v>3</v>
      </c>
      <c r="F1" s="35"/>
      <c r="G1" s="34" t="s">
        <v>4</v>
      </c>
      <c r="H1" s="35"/>
      <c r="I1" s="34" t="s">
        <v>5</v>
      </c>
      <c r="J1" s="35"/>
      <c r="K1" s="34" t="s">
        <v>6</v>
      </c>
      <c r="L1" s="35"/>
      <c r="M1" s="34" t="s">
        <v>7</v>
      </c>
      <c r="N1" s="35"/>
      <c r="O1" s="34" t="s">
        <v>8</v>
      </c>
      <c r="P1" s="35"/>
      <c r="Q1" s="34" t="s">
        <v>9</v>
      </c>
      <c r="R1" s="35"/>
      <c r="S1" s="34" t="s">
        <v>10</v>
      </c>
      <c r="T1" s="35"/>
      <c r="U1" s="34" t="s">
        <v>11</v>
      </c>
      <c r="V1" s="36" t="s">
        <v>12</v>
      </c>
      <c r="W1" s="36" t="s">
        <v>13</v>
      </c>
      <c r="X1" s="36" t="s">
        <v>14</v>
      </c>
      <c r="Y1" s="36" t="s">
        <v>15</v>
      </c>
      <c r="Z1" s="36" t="s">
        <v>16</v>
      </c>
      <c r="AA1" s="36" t="s">
        <v>17</v>
      </c>
      <c r="AB1" s="36" t="s">
        <v>18</v>
      </c>
      <c r="AC1" s="36" t="s">
        <v>19</v>
      </c>
      <c r="AD1" s="34" t="s">
        <v>20</v>
      </c>
      <c r="AE1" s="34" t="s">
        <v>3514</v>
      </c>
      <c r="AF1" s="34" t="s">
        <v>3515</v>
      </c>
      <c r="AG1" s="34" t="s">
        <v>3516</v>
      </c>
      <c r="AH1" s="34" t="s">
        <v>24</v>
      </c>
      <c r="AI1" s="34" t="s">
        <v>25</v>
      </c>
      <c r="AJ1" s="34" t="s">
        <v>26</v>
      </c>
    </row>
    <row r="2">
      <c r="A2" s="35"/>
      <c r="B2" s="35"/>
      <c r="C2" s="37" t="s">
        <v>27</v>
      </c>
      <c r="D2" s="37" t="s">
        <v>0</v>
      </c>
      <c r="E2" s="37" t="s">
        <v>27</v>
      </c>
      <c r="F2" s="37" t="s">
        <v>0</v>
      </c>
      <c r="G2" s="37" t="s">
        <v>27</v>
      </c>
      <c r="H2" s="37" t="s">
        <v>0</v>
      </c>
      <c r="I2" s="37" t="s">
        <v>27</v>
      </c>
      <c r="J2" s="37" t="s">
        <v>0</v>
      </c>
      <c r="K2" s="37" t="s">
        <v>27</v>
      </c>
      <c r="L2" s="37" t="s">
        <v>0</v>
      </c>
      <c r="M2" s="37" t="s">
        <v>27</v>
      </c>
      <c r="N2" s="37" t="s">
        <v>0</v>
      </c>
      <c r="O2" s="37" t="s">
        <v>27</v>
      </c>
      <c r="P2" s="37" t="s">
        <v>0</v>
      </c>
      <c r="Q2" s="37" t="s">
        <v>27</v>
      </c>
      <c r="R2" s="37" t="s">
        <v>0</v>
      </c>
      <c r="S2" s="37" t="s">
        <v>27</v>
      </c>
      <c r="T2" s="37" t="s">
        <v>0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34" t="s">
        <v>3517</v>
      </c>
      <c r="B3" s="38" t="s">
        <v>3518</v>
      </c>
      <c r="C3" s="39">
        <v>46128.527083333334</v>
      </c>
      <c r="D3" s="39">
        <v>46128.53333333333</v>
      </c>
      <c r="E3" s="39">
        <v>46128.535416666666</v>
      </c>
      <c r="F3" s="37" t="s">
        <v>33</v>
      </c>
      <c r="G3" s="37" t="s">
        <v>33</v>
      </c>
      <c r="H3" s="37" t="s">
        <v>33</v>
      </c>
      <c r="I3" s="37" t="s">
        <v>33</v>
      </c>
      <c r="J3" s="37" t="s">
        <v>33</v>
      </c>
      <c r="K3" s="37" t="s">
        <v>33</v>
      </c>
      <c r="L3" s="37" t="s">
        <v>33</v>
      </c>
      <c r="M3" s="37" t="s">
        <v>33</v>
      </c>
      <c r="N3" s="37" t="s">
        <v>33</v>
      </c>
      <c r="O3" s="37" t="s">
        <v>33</v>
      </c>
      <c r="P3" s="37" t="s">
        <v>33</v>
      </c>
      <c r="Q3" s="37" t="s">
        <v>33</v>
      </c>
      <c r="R3" s="37" t="s">
        <v>33</v>
      </c>
      <c r="S3" s="37" t="s">
        <v>33</v>
      </c>
      <c r="T3" s="37" t="s">
        <v>33</v>
      </c>
      <c r="U3" s="37">
        <f>TEXT(D3-C3,"[mm]")/60</f>
        <v>0.15</v>
      </c>
      <c r="V3" s="40" t="s">
        <v>33</v>
      </c>
      <c r="W3" s="40" t="s">
        <v>33</v>
      </c>
      <c r="X3" s="40" t="s">
        <v>33</v>
      </c>
      <c r="Y3" s="40" t="s">
        <v>33</v>
      </c>
      <c r="Z3" s="40" t="s">
        <v>33</v>
      </c>
      <c r="AA3" s="40" t="s">
        <v>33</v>
      </c>
      <c r="AB3" s="40" t="s">
        <v>33</v>
      </c>
      <c r="AC3" s="40" t="s">
        <v>33</v>
      </c>
      <c r="AD3" s="37">
        <f>AVERAGE(U3:AC3)</f>
        <v>0.15</v>
      </c>
      <c r="AE3" s="37" t="b">
        <v>1</v>
      </c>
      <c r="AF3" s="37" t="b">
        <v>0</v>
      </c>
      <c r="AG3" s="37" t="b">
        <v>0</v>
      </c>
      <c r="AH3" s="37" t="str">
        <f t="shared" ref="AH3:AH5" si="1">IF(AND(AE3="FALSE",AF3="FALSE",AG3="FALSE"),-15,IF(AE3="TRUE",10,IF(AF3="TRUE",5,IF(AG3="TRUE",-10,""))))</f>
        <v/>
      </c>
      <c r="AI3" s="35"/>
      <c r="AJ3" s="37" t="s">
        <v>3519</v>
      </c>
    </row>
    <row r="4">
      <c r="A4" s="34" t="s">
        <v>3517</v>
      </c>
      <c r="B4" s="38" t="s">
        <v>3520</v>
      </c>
      <c r="C4" s="39">
        <v>46132.805555555555</v>
      </c>
      <c r="D4" s="37" t="s">
        <v>33</v>
      </c>
      <c r="E4" s="37" t="s">
        <v>33</v>
      </c>
      <c r="F4" s="37" t="s">
        <v>33</v>
      </c>
      <c r="G4" s="37" t="s">
        <v>33</v>
      </c>
      <c r="H4" s="37" t="s">
        <v>33</v>
      </c>
      <c r="I4" s="37" t="s">
        <v>33</v>
      </c>
      <c r="J4" s="37" t="s">
        <v>33</v>
      </c>
      <c r="K4" s="37" t="s">
        <v>33</v>
      </c>
      <c r="L4" s="37" t="s">
        <v>33</v>
      </c>
      <c r="M4" s="37" t="s">
        <v>33</v>
      </c>
      <c r="N4" s="37" t="s">
        <v>33</v>
      </c>
      <c r="O4" s="37" t="s">
        <v>33</v>
      </c>
      <c r="P4" s="37" t="s">
        <v>33</v>
      </c>
      <c r="Q4" s="37" t="s">
        <v>33</v>
      </c>
      <c r="R4" s="37" t="s">
        <v>33</v>
      </c>
      <c r="S4" s="37" t="s">
        <v>33</v>
      </c>
      <c r="T4" s="37" t="s">
        <v>33</v>
      </c>
      <c r="U4" s="37" t="s">
        <v>33</v>
      </c>
      <c r="V4" s="40" t="s">
        <v>33</v>
      </c>
      <c r="W4" s="40" t="s">
        <v>33</v>
      </c>
      <c r="X4" s="40" t="s">
        <v>33</v>
      </c>
      <c r="Y4" s="40" t="s">
        <v>33</v>
      </c>
      <c r="Z4" s="40" t="s">
        <v>33</v>
      </c>
      <c r="AA4" s="40" t="s">
        <v>33</v>
      </c>
      <c r="AB4" s="40" t="s">
        <v>33</v>
      </c>
      <c r="AC4" s="40" t="s">
        <v>33</v>
      </c>
      <c r="AD4" s="37" t="s">
        <v>33</v>
      </c>
      <c r="AE4" s="37" t="b">
        <v>0</v>
      </c>
      <c r="AF4" s="37" t="b">
        <v>0</v>
      </c>
      <c r="AG4" s="37" t="b">
        <v>0</v>
      </c>
      <c r="AH4" s="37" t="str">
        <f t="shared" si="1"/>
        <v/>
      </c>
      <c r="AI4" s="35"/>
      <c r="AJ4" s="37" t="s">
        <v>3519</v>
      </c>
    </row>
    <row r="5">
      <c r="A5" s="34" t="s">
        <v>3517</v>
      </c>
      <c r="B5" s="38" t="s">
        <v>3521</v>
      </c>
      <c r="C5" s="39">
        <v>46129.436111111114</v>
      </c>
      <c r="D5" s="37" t="s">
        <v>33</v>
      </c>
      <c r="E5" s="37" t="s">
        <v>33</v>
      </c>
      <c r="F5" s="37" t="s">
        <v>33</v>
      </c>
      <c r="G5" s="37" t="s">
        <v>33</v>
      </c>
      <c r="H5" s="37" t="s">
        <v>33</v>
      </c>
      <c r="I5" s="37" t="s">
        <v>33</v>
      </c>
      <c r="J5" s="37" t="s">
        <v>33</v>
      </c>
      <c r="K5" s="37" t="s">
        <v>33</v>
      </c>
      <c r="L5" s="37" t="s">
        <v>33</v>
      </c>
      <c r="M5" s="37" t="s">
        <v>33</v>
      </c>
      <c r="N5" s="37" t="s">
        <v>33</v>
      </c>
      <c r="O5" s="37" t="s">
        <v>33</v>
      </c>
      <c r="P5" s="37" t="s">
        <v>33</v>
      </c>
      <c r="Q5" s="37" t="s">
        <v>33</v>
      </c>
      <c r="R5" s="37" t="s">
        <v>33</v>
      </c>
      <c r="S5" s="37" t="s">
        <v>33</v>
      </c>
      <c r="T5" s="37" t="s">
        <v>33</v>
      </c>
      <c r="U5" s="37" t="s">
        <v>33</v>
      </c>
      <c r="V5" s="40" t="s">
        <v>33</v>
      </c>
      <c r="W5" s="40" t="s">
        <v>33</v>
      </c>
      <c r="X5" s="40" t="s">
        <v>33</v>
      </c>
      <c r="Y5" s="40" t="s">
        <v>33</v>
      </c>
      <c r="Z5" s="40" t="s">
        <v>33</v>
      </c>
      <c r="AA5" s="40" t="s">
        <v>33</v>
      </c>
      <c r="AB5" s="40" t="s">
        <v>33</v>
      </c>
      <c r="AC5" s="40" t="s">
        <v>33</v>
      </c>
      <c r="AD5" s="37" t="s">
        <v>33</v>
      </c>
      <c r="AE5" s="37" t="b">
        <v>0</v>
      </c>
      <c r="AF5" s="37" t="b">
        <v>0</v>
      </c>
      <c r="AG5" s="37" t="b">
        <v>0</v>
      </c>
      <c r="AH5" s="37" t="str">
        <f t="shared" si="1"/>
        <v/>
      </c>
      <c r="AI5" s="35"/>
      <c r="AJ5" s="37" t="s">
        <v>3519</v>
      </c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>
        <f>AVERAGE(AD2:AD5)</f>
        <v>0.15</v>
      </c>
      <c r="AE6" s="41"/>
      <c r="AF6" s="41"/>
      <c r="AG6" s="41"/>
      <c r="AH6" s="41"/>
      <c r="AI6" s="41"/>
      <c r="AJ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</row>
  </sheetData>
  <hyperlinks>
    <hyperlink r:id="rId1" ref="B3"/>
    <hyperlink r:id="rId2" ref="B4"/>
    <hyperlink r:id="rId3" ref="B5"/>
  </hyperlink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6.14"/>
    <col customWidth="1" min="3" max="3" width="23.57"/>
  </cols>
  <sheetData>
    <row r="1">
      <c r="A1" s="34" t="s">
        <v>0</v>
      </c>
      <c r="B1" s="34" t="s">
        <v>1</v>
      </c>
      <c r="C1" s="34" t="s">
        <v>2</v>
      </c>
      <c r="D1" s="42"/>
      <c r="E1" s="34" t="s">
        <v>3</v>
      </c>
      <c r="F1" s="42"/>
      <c r="G1" s="34" t="s">
        <v>4</v>
      </c>
      <c r="H1" s="42"/>
      <c r="I1" s="34" t="s">
        <v>5</v>
      </c>
      <c r="J1" s="42"/>
      <c r="K1" s="34" t="s">
        <v>6</v>
      </c>
      <c r="L1" s="42"/>
      <c r="M1" s="34" t="s">
        <v>7</v>
      </c>
      <c r="N1" s="42"/>
      <c r="O1" s="34" t="s">
        <v>8</v>
      </c>
      <c r="P1" s="42"/>
      <c r="Q1" s="34" t="s">
        <v>9</v>
      </c>
      <c r="R1" s="42"/>
      <c r="S1" s="34" t="s">
        <v>10</v>
      </c>
      <c r="T1" s="42"/>
      <c r="U1" s="34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14" t="s">
        <v>17</v>
      </c>
      <c r="AB1" s="14" t="s">
        <v>18</v>
      </c>
      <c r="AC1" s="14" t="s">
        <v>19</v>
      </c>
      <c r="AD1" s="43" t="s">
        <v>20</v>
      </c>
      <c r="AE1" s="34" t="s">
        <v>3514</v>
      </c>
      <c r="AF1" s="34" t="s">
        <v>3515</v>
      </c>
      <c r="AG1" s="34" t="s">
        <v>3516</v>
      </c>
      <c r="AH1" s="34" t="s">
        <v>24</v>
      </c>
      <c r="AI1" s="34" t="s">
        <v>25</v>
      </c>
      <c r="AJ1" s="34" t="s">
        <v>26</v>
      </c>
    </row>
    <row r="2">
      <c r="A2" s="42"/>
      <c r="B2" s="42"/>
      <c r="C2" s="37" t="s">
        <v>27</v>
      </c>
      <c r="D2" s="37" t="s">
        <v>0</v>
      </c>
      <c r="E2" s="37" t="s">
        <v>27</v>
      </c>
      <c r="F2" s="37" t="s">
        <v>0</v>
      </c>
      <c r="G2" s="37" t="s">
        <v>27</v>
      </c>
      <c r="H2" s="37" t="s">
        <v>0</v>
      </c>
      <c r="I2" s="37" t="s">
        <v>27</v>
      </c>
      <c r="J2" s="37" t="s">
        <v>0</v>
      </c>
      <c r="K2" s="37" t="s">
        <v>27</v>
      </c>
      <c r="L2" s="37" t="s">
        <v>0</v>
      </c>
      <c r="M2" s="37" t="s">
        <v>27</v>
      </c>
      <c r="N2" s="37" t="s">
        <v>0</v>
      </c>
      <c r="O2" s="37" t="s">
        <v>27</v>
      </c>
      <c r="P2" s="37" t="s">
        <v>0</v>
      </c>
      <c r="Q2" s="37" t="s">
        <v>27</v>
      </c>
      <c r="R2" s="37" t="s">
        <v>0</v>
      </c>
      <c r="S2" s="37" t="s">
        <v>27</v>
      </c>
      <c r="T2" s="37" t="s">
        <v>0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>
      <c r="A3" s="34" t="s">
        <v>3522</v>
      </c>
      <c r="B3" s="44" t="s">
        <v>3523</v>
      </c>
      <c r="C3" s="39">
        <v>46121.7875</v>
      </c>
      <c r="D3" s="37" t="s">
        <v>33</v>
      </c>
      <c r="E3" s="37" t="s">
        <v>33</v>
      </c>
      <c r="F3" s="37" t="s">
        <v>33</v>
      </c>
      <c r="G3" s="37" t="s">
        <v>33</v>
      </c>
      <c r="H3" s="37" t="s">
        <v>33</v>
      </c>
      <c r="I3" s="37" t="s">
        <v>33</v>
      </c>
      <c r="J3" s="37" t="s">
        <v>33</v>
      </c>
      <c r="K3" s="37" t="s">
        <v>33</v>
      </c>
      <c r="L3" s="37" t="s">
        <v>33</v>
      </c>
      <c r="M3" s="37" t="s">
        <v>33</v>
      </c>
      <c r="N3" s="37" t="s">
        <v>33</v>
      </c>
      <c r="O3" s="37" t="s">
        <v>33</v>
      </c>
      <c r="P3" s="37" t="s">
        <v>33</v>
      </c>
      <c r="Q3" s="37" t="s">
        <v>33</v>
      </c>
      <c r="R3" s="37" t="s">
        <v>33</v>
      </c>
      <c r="S3" s="37" t="s">
        <v>33</v>
      </c>
      <c r="T3" s="37" t="s">
        <v>33</v>
      </c>
      <c r="U3" s="37" t="s">
        <v>33</v>
      </c>
      <c r="V3" s="37" t="s">
        <v>33</v>
      </c>
      <c r="W3" s="37" t="s">
        <v>33</v>
      </c>
      <c r="X3" s="37" t="s">
        <v>33</v>
      </c>
      <c r="Y3" s="37" t="s">
        <v>33</v>
      </c>
      <c r="Z3" s="37" t="s">
        <v>33</v>
      </c>
      <c r="AA3" s="37" t="s">
        <v>33</v>
      </c>
      <c r="AB3" s="37" t="s">
        <v>33</v>
      </c>
      <c r="AC3" s="37" t="s">
        <v>33</v>
      </c>
      <c r="AD3" s="37" t="s">
        <v>33</v>
      </c>
      <c r="AE3" s="37" t="b">
        <v>0</v>
      </c>
      <c r="AF3" s="37" t="b">
        <v>0</v>
      </c>
      <c r="AG3" s="37" t="b">
        <v>0</v>
      </c>
      <c r="AH3" s="37" t="str">
        <f t="shared" ref="AH3:AH13" si="1">IF(AND(AE3="FALSE",AF3="FALSE",AG3="FALSE"),-15,IF(AE3="TRUE",10,IF(AF3="TRUE",5,IF(AG3="TRUE",-10,""))))</f>
        <v/>
      </c>
      <c r="AI3" s="42"/>
      <c r="AJ3" s="37" t="s">
        <v>3519</v>
      </c>
    </row>
    <row r="4">
      <c r="A4" s="34" t="s">
        <v>3522</v>
      </c>
      <c r="B4" s="44" t="s">
        <v>3524</v>
      </c>
      <c r="C4" s="39">
        <v>46125.67291666667</v>
      </c>
      <c r="D4" s="37" t="s">
        <v>33</v>
      </c>
      <c r="E4" s="37" t="s">
        <v>33</v>
      </c>
      <c r="F4" s="37" t="s">
        <v>33</v>
      </c>
      <c r="G4" s="37" t="s">
        <v>33</v>
      </c>
      <c r="H4" s="37" t="s">
        <v>33</v>
      </c>
      <c r="I4" s="37" t="s">
        <v>33</v>
      </c>
      <c r="J4" s="37" t="s">
        <v>33</v>
      </c>
      <c r="K4" s="37" t="s">
        <v>33</v>
      </c>
      <c r="L4" s="37" t="s">
        <v>33</v>
      </c>
      <c r="M4" s="37" t="s">
        <v>33</v>
      </c>
      <c r="N4" s="37" t="s">
        <v>33</v>
      </c>
      <c r="O4" s="37" t="s">
        <v>33</v>
      </c>
      <c r="P4" s="37" t="s">
        <v>33</v>
      </c>
      <c r="Q4" s="37" t="s">
        <v>33</v>
      </c>
      <c r="R4" s="37" t="s">
        <v>33</v>
      </c>
      <c r="S4" s="37" t="s">
        <v>33</v>
      </c>
      <c r="T4" s="37" t="s">
        <v>33</v>
      </c>
      <c r="U4" s="37" t="s">
        <v>33</v>
      </c>
      <c r="V4" s="37" t="s">
        <v>33</v>
      </c>
      <c r="W4" s="37" t="s">
        <v>33</v>
      </c>
      <c r="X4" s="37" t="s">
        <v>33</v>
      </c>
      <c r="Y4" s="37" t="s">
        <v>33</v>
      </c>
      <c r="Z4" s="37" t="s">
        <v>33</v>
      </c>
      <c r="AA4" s="37" t="s">
        <v>33</v>
      </c>
      <c r="AB4" s="37" t="s">
        <v>33</v>
      </c>
      <c r="AC4" s="37" t="s">
        <v>33</v>
      </c>
      <c r="AD4" s="37" t="s">
        <v>33</v>
      </c>
      <c r="AE4" s="37" t="b">
        <v>0</v>
      </c>
      <c r="AF4" s="37" t="b">
        <v>0</v>
      </c>
      <c r="AG4" s="37" t="b">
        <v>0</v>
      </c>
      <c r="AH4" s="37" t="str">
        <f t="shared" si="1"/>
        <v/>
      </c>
      <c r="AI4" s="42"/>
      <c r="AJ4" s="37" t="s">
        <v>3519</v>
      </c>
    </row>
    <row r="5">
      <c r="A5" s="34" t="s">
        <v>3522</v>
      </c>
      <c r="B5" s="44" t="s">
        <v>3525</v>
      </c>
      <c r="C5" s="39">
        <v>46126.7125</v>
      </c>
      <c r="D5" s="37" t="s">
        <v>33</v>
      </c>
      <c r="E5" s="37" t="s">
        <v>33</v>
      </c>
      <c r="F5" s="37" t="s">
        <v>33</v>
      </c>
      <c r="G5" s="37" t="s">
        <v>33</v>
      </c>
      <c r="H5" s="37" t="s">
        <v>33</v>
      </c>
      <c r="I5" s="37" t="s">
        <v>33</v>
      </c>
      <c r="J5" s="37" t="s">
        <v>33</v>
      </c>
      <c r="K5" s="37" t="s">
        <v>33</v>
      </c>
      <c r="L5" s="37" t="s">
        <v>33</v>
      </c>
      <c r="M5" s="37" t="s">
        <v>33</v>
      </c>
      <c r="N5" s="37" t="s">
        <v>33</v>
      </c>
      <c r="O5" s="37" t="s">
        <v>33</v>
      </c>
      <c r="P5" s="37" t="s">
        <v>33</v>
      </c>
      <c r="Q5" s="37" t="s">
        <v>33</v>
      </c>
      <c r="R5" s="37" t="s">
        <v>33</v>
      </c>
      <c r="S5" s="37" t="s">
        <v>33</v>
      </c>
      <c r="T5" s="37" t="s">
        <v>33</v>
      </c>
      <c r="U5" s="37" t="s">
        <v>33</v>
      </c>
      <c r="V5" s="37" t="s">
        <v>33</v>
      </c>
      <c r="W5" s="37" t="s">
        <v>33</v>
      </c>
      <c r="X5" s="37" t="s">
        <v>33</v>
      </c>
      <c r="Y5" s="37" t="s">
        <v>33</v>
      </c>
      <c r="Z5" s="37" t="s">
        <v>33</v>
      </c>
      <c r="AA5" s="37" t="s">
        <v>33</v>
      </c>
      <c r="AB5" s="37" t="s">
        <v>33</v>
      </c>
      <c r="AC5" s="37" t="s">
        <v>33</v>
      </c>
      <c r="AD5" s="37" t="s">
        <v>33</v>
      </c>
      <c r="AE5" s="37" t="b">
        <v>0</v>
      </c>
      <c r="AF5" s="37" t="b">
        <v>0</v>
      </c>
      <c r="AG5" s="37" t="b">
        <v>0</v>
      </c>
      <c r="AH5" s="37" t="str">
        <f t="shared" si="1"/>
        <v/>
      </c>
      <c r="AI5" s="42"/>
      <c r="AJ5" s="37" t="s">
        <v>3519</v>
      </c>
    </row>
    <row r="6">
      <c r="A6" s="34" t="s">
        <v>3522</v>
      </c>
      <c r="B6" s="44" t="s">
        <v>3526</v>
      </c>
      <c r="C6" s="39">
        <v>46127.75347222222</v>
      </c>
      <c r="D6" s="37" t="s">
        <v>33</v>
      </c>
      <c r="E6" s="37" t="s">
        <v>33</v>
      </c>
      <c r="F6" s="37" t="s">
        <v>33</v>
      </c>
      <c r="G6" s="37" t="s">
        <v>33</v>
      </c>
      <c r="H6" s="37" t="s">
        <v>33</v>
      </c>
      <c r="I6" s="37" t="s">
        <v>33</v>
      </c>
      <c r="J6" s="37" t="s">
        <v>33</v>
      </c>
      <c r="K6" s="37" t="s">
        <v>33</v>
      </c>
      <c r="L6" s="37" t="s">
        <v>33</v>
      </c>
      <c r="M6" s="37" t="s">
        <v>33</v>
      </c>
      <c r="N6" s="37" t="s">
        <v>33</v>
      </c>
      <c r="O6" s="37" t="s">
        <v>33</v>
      </c>
      <c r="P6" s="37" t="s">
        <v>33</v>
      </c>
      <c r="Q6" s="37" t="s">
        <v>33</v>
      </c>
      <c r="R6" s="37" t="s">
        <v>33</v>
      </c>
      <c r="S6" s="37" t="s">
        <v>33</v>
      </c>
      <c r="T6" s="37" t="s">
        <v>33</v>
      </c>
      <c r="U6" s="37" t="s">
        <v>33</v>
      </c>
      <c r="V6" s="37" t="s">
        <v>33</v>
      </c>
      <c r="W6" s="37" t="s">
        <v>33</v>
      </c>
      <c r="X6" s="37" t="s">
        <v>33</v>
      </c>
      <c r="Y6" s="37" t="s">
        <v>33</v>
      </c>
      <c r="Z6" s="37" t="s">
        <v>33</v>
      </c>
      <c r="AA6" s="37" t="s">
        <v>33</v>
      </c>
      <c r="AB6" s="37" t="s">
        <v>33</v>
      </c>
      <c r="AC6" s="37" t="s">
        <v>33</v>
      </c>
      <c r="AD6" s="37" t="s">
        <v>33</v>
      </c>
      <c r="AE6" s="37" t="b">
        <v>0</v>
      </c>
      <c r="AF6" s="37" t="b">
        <v>0</v>
      </c>
      <c r="AG6" s="37" t="b">
        <v>0</v>
      </c>
      <c r="AH6" s="37" t="str">
        <f t="shared" si="1"/>
        <v/>
      </c>
      <c r="AI6" s="42"/>
      <c r="AJ6" s="37" t="s">
        <v>3519</v>
      </c>
    </row>
    <row r="7">
      <c r="A7" s="34" t="s">
        <v>3522</v>
      </c>
      <c r="B7" s="44" t="s">
        <v>3527</v>
      </c>
      <c r="C7" s="39">
        <v>46130.92152777778</v>
      </c>
      <c r="D7" s="37" t="s">
        <v>33</v>
      </c>
      <c r="E7" s="37" t="s">
        <v>33</v>
      </c>
      <c r="F7" s="37" t="s">
        <v>33</v>
      </c>
      <c r="G7" s="37" t="s">
        <v>33</v>
      </c>
      <c r="H7" s="37" t="s">
        <v>33</v>
      </c>
      <c r="I7" s="37" t="s">
        <v>33</v>
      </c>
      <c r="J7" s="37" t="s">
        <v>33</v>
      </c>
      <c r="K7" s="37" t="s">
        <v>33</v>
      </c>
      <c r="L7" s="37" t="s">
        <v>33</v>
      </c>
      <c r="M7" s="37" t="s">
        <v>33</v>
      </c>
      <c r="N7" s="37" t="s">
        <v>33</v>
      </c>
      <c r="O7" s="37" t="s">
        <v>33</v>
      </c>
      <c r="P7" s="37" t="s">
        <v>33</v>
      </c>
      <c r="Q7" s="37" t="s">
        <v>33</v>
      </c>
      <c r="R7" s="37" t="s">
        <v>33</v>
      </c>
      <c r="S7" s="37" t="s">
        <v>33</v>
      </c>
      <c r="T7" s="37" t="s">
        <v>33</v>
      </c>
      <c r="U7" s="37" t="s">
        <v>33</v>
      </c>
      <c r="V7" s="37" t="s">
        <v>33</v>
      </c>
      <c r="W7" s="37" t="s">
        <v>33</v>
      </c>
      <c r="X7" s="37" t="s">
        <v>33</v>
      </c>
      <c r="Y7" s="37" t="s">
        <v>33</v>
      </c>
      <c r="Z7" s="37" t="s">
        <v>33</v>
      </c>
      <c r="AA7" s="37" t="s">
        <v>33</v>
      </c>
      <c r="AB7" s="37" t="s">
        <v>33</v>
      </c>
      <c r="AC7" s="37" t="s">
        <v>33</v>
      </c>
      <c r="AD7" s="37" t="s">
        <v>33</v>
      </c>
      <c r="AE7" s="37" t="b">
        <v>0</v>
      </c>
      <c r="AF7" s="37" t="b">
        <v>0</v>
      </c>
      <c r="AG7" s="37" t="b">
        <v>0</v>
      </c>
      <c r="AH7" s="37" t="str">
        <f t="shared" si="1"/>
        <v/>
      </c>
      <c r="AI7" s="42"/>
      <c r="AJ7" s="37" t="s">
        <v>3519</v>
      </c>
    </row>
    <row r="8">
      <c r="A8" s="34" t="s">
        <v>3522</v>
      </c>
      <c r="B8" s="44" t="s">
        <v>3528</v>
      </c>
      <c r="C8" s="39">
        <v>46136.42152777778</v>
      </c>
      <c r="D8" s="37" t="s">
        <v>33</v>
      </c>
      <c r="E8" s="37" t="s">
        <v>33</v>
      </c>
      <c r="F8" s="37" t="s">
        <v>33</v>
      </c>
      <c r="G8" s="37" t="s">
        <v>33</v>
      </c>
      <c r="H8" s="37" t="s">
        <v>33</v>
      </c>
      <c r="I8" s="37" t="s">
        <v>33</v>
      </c>
      <c r="J8" s="37" t="s">
        <v>33</v>
      </c>
      <c r="K8" s="37" t="s">
        <v>33</v>
      </c>
      <c r="L8" s="37" t="s">
        <v>33</v>
      </c>
      <c r="M8" s="37" t="s">
        <v>33</v>
      </c>
      <c r="N8" s="37" t="s">
        <v>33</v>
      </c>
      <c r="O8" s="37" t="s">
        <v>33</v>
      </c>
      <c r="P8" s="37" t="s">
        <v>33</v>
      </c>
      <c r="Q8" s="37" t="s">
        <v>33</v>
      </c>
      <c r="R8" s="37" t="s">
        <v>33</v>
      </c>
      <c r="S8" s="37" t="s">
        <v>33</v>
      </c>
      <c r="T8" s="37" t="s">
        <v>33</v>
      </c>
      <c r="U8" s="37" t="s">
        <v>33</v>
      </c>
      <c r="V8" s="37" t="s">
        <v>33</v>
      </c>
      <c r="W8" s="37" t="s">
        <v>33</v>
      </c>
      <c r="X8" s="37" t="s">
        <v>33</v>
      </c>
      <c r="Y8" s="37" t="s">
        <v>33</v>
      </c>
      <c r="Z8" s="37" t="s">
        <v>33</v>
      </c>
      <c r="AA8" s="37" t="s">
        <v>33</v>
      </c>
      <c r="AB8" s="37" t="s">
        <v>33</v>
      </c>
      <c r="AC8" s="37" t="s">
        <v>33</v>
      </c>
      <c r="AD8" s="37" t="s">
        <v>33</v>
      </c>
      <c r="AE8" s="37" t="b">
        <v>0</v>
      </c>
      <c r="AF8" s="37" t="b">
        <v>0</v>
      </c>
      <c r="AG8" s="37" t="b">
        <v>0</v>
      </c>
      <c r="AH8" s="37" t="str">
        <f t="shared" si="1"/>
        <v/>
      </c>
      <c r="AI8" s="42"/>
      <c r="AJ8" s="37" t="s">
        <v>3519</v>
      </c>
    </row>
    <row r="9">
      <c r="A9" s="34" t="s">
        <v>3522</v>
      </c>
      <c r="B9" s="44" t="s">
        <v>3529</v>
      </c>
      <c r="C9" s="39">
        <v>46123.915972222225</v>
      </c>
      <c r="D9" s="37" t="s">
        <v>33</v>
      </c>
      <c r="E9" s="37" t="s">
        <v>33</v>
      </c>
      <c r="F9" s="37" t="s">
        <v>33</v>
      </c>
      <c r="G9" s="37" t="s">
        <v>33</v>
      </c>
      <c r="H9" s="37" t="s">
        <v>33</v>
      </c>
      <c r="I9" s="37" t="s">
        <v>33</v>
      </c>
      <c r="J9" s="37" t="s">
        <v>33</v>
      </c>
      <c r="K9" s="37" t="s">
        <v>33</v>
      </c>
      <c r="L9" s="37" t="s">
        <v>33</v>
      </c>
      <c r="M9" s="37" t="s">
        <v>33</v>
      </c>
      <c r="N9" s="37" t="s">
        <v>33</v>
      </c>
      <c r="O9" s="37" t="s">
        <v>33</v>
      </c>
      <c r="P9" s="37" t="s">
        <v>33</v>
      </c>
      <c r="Q9" s="37" t="s">
        <v>33</v>
      </c>
      <c r="R9" s="37" t="s">
        <v>33</v>
      </c>
      <c r="S9" s="37" t="s">
        <v>33</v>
      </c>
      <c r="T9" s="37" t="s">
        <v>33</v>
      </c>
      <c r="U9" s="37" t="s">
        <v>33</v>
      </c>
      <c r="V9" s="37" t="s">
        <v>33</v>
      </c>
      <c r="W9" s="37" t="s">
        <v>33</v>
      </c>
      <c r="X9" s="37" t="s">
        <v>33</v>
      </c>
      <c r="Y9" s="37" t="s">
        <v>33</v>
      </c>
      <c r="Z9" s="37" t="s">
        <v>33</v>
      </c>
      <c r="AA9" s="37" t="s">
        <v>33</v>
      </c>
      <c r="AB9" s="37" t="s">
        <v>33</v>
      </c>
      <c r="AC9" s="37" t="s">
        <v>33</v>
      </c>
      <c r="AD9" s="37" t="s">
        <v>33</v>
      </c>
      <c r="AE9" s="37" t="b">
        <v>0</v>
      </c>
      <c r="AF9" s="37" t="b">
        <v>0</v>
      </c>
      <c r="AG9" s="37" t="b">
        <v>0</v>
      </c>
      <c r="AH9" s="37" t="str">
        <f t="shared" si="1"/>
        <v/>
      </c>
      <c r="AI9" s="42"/>
      <c r="AJ9" s="37" t="s">
        <v>3519</v>
      </c>
    </row>
    <row r="10">
      <c r="A10" s="34" t="s">
        <v>3522</v>
      </c>
      <c r="B10" s="44" t="s">
        <v>3530</v>
      </c>
      <c r="C10" s="39">
        <v>46123.92152777778</v>
      </c>
      <c r="D10" s="37" t="s">
        <v>33</v>
      </c>
      <c r="E10" s="37" t="s">
        <v>33</v>
      </c>
      <c r="F10" s="37" t="s">
        <v>33</v>
      </c>
      <c r="G10" s="37" t="s">
        <v>33</v>
      </c>
      <c r="H10" s="37" t="s">
        <v>33</v>
      </c>
      <c r="I10" s="37" t="s">
        <v>33</v>
      </c>
      <c r="J10" s="37" t="s">
        <v>33</v>
      </c>
      <c r="K10" s="37" t="s">
        <v>33</v>
      </c>
      <c r="L10" s="37" t="s">
        <v>33</v>
      </c>
      <c r="M10" s="37" t="s">
        <v>33</v>
      </c>
      <c r="N10" s="37" t="s">
        <v>33</v>
      </c>
      <c r="O10" s="37" t="s">
        <v>33</v>
      </c>
      <c r="P10" s="37" t="s">
        <v>33</v>
      </c>
      <c r="Q10" s="37" t="s">
        <v>33</v>
      </c>
      <c r="R10" s="37" t="s">
        <v>33</v>
      </c>
      <c r="S10" s="37" t="s">
        <v>33</v>
      </c>
      <c r="T10" s="37" t="s">
        <v>33</v>
      </c>
      <c r="U10" s="37" t="s">
        <v>33</v>
      </c>
      <c r="V10" s="37" t="s">
        <v>33</v>
      </c>
      <c r="W10" s="37" t="s">
        <v>33</v>
      </c>
      <c r="X10" s="37" t="s">
        <v>33</v>
      </c>
      <c r="Y10" s="37" t="s">
        <v>33</v>
      </c>
      <c r="Z10" s="37" t="s">
        <v>33</v>
      </c>
      <c r="AA10" s="37" t="s">
        <v>33</v>
      </c>
      <c r="AB10" s="37" t="s">
        <v>33</v>
      </c>
      <c r="AC10" s="37" t="s">
        <v>33</v>
      </c>
      <c r="AD10" s="37" t="s">
        <v>33</v>
      </c>
      <c r="AE10" s="37" t="b">
        <v>0</v>
      </c>
      <c r="AF10" s="37" t="b">
        <v>0</v>
      </c>
      <c r="AG10" s="37" t="b">
        <v>0</v>
      </c>
      <c r="AH10" s="37" t="str">
        <f t="shared" si="1"/>
        <v/>
      </c>
      <c r="AI10" s="42"/>
      <c r="AJ10" s="37" t="s">
        <v>3519</v>
      </c>
    </row>
    <row r="11">
      <c r="A11" s="34" t="s">
        <v>3522</v>
      </c>
      <c r="B11" s="44" t="s">
        <v>3531</v>
      </c>
      <c r="C11" s="39">
        <v>46126.81180555555</v>
      </c>
      <c r="D11" s="37" t="s">
        <v>33</v>
      </c>
      <c r="E11" s="37" t="s">
        <v>33</v>
      </c>
      <c r="F11" s="37" t="s">
        <v>33</v>
      </c>
      <c r="G11" s="37" t="s">
        <v>33</v>
      </c>
      <c r="H11" s="37" t="s">
        <v>33</v>
      </c>
      <c r="I11" s="37" t="s">
        <v>33</v>
      </c>
      <c r="J11" s="37" t="s">
        <v>33</v>
      </c>
      <c r="K11" s="37" t="s">
        <v>33</v>
      </c>
      <c r="L11" s="37" t="s">
        <v>33</v>
      </c>
      <c r="M11" s="37" t="s">
        <v>33</v>
      </c>
      <c r="N11" s="37" t="s">
        <v>33</v>
      </c>
      <c r="O11" s="37" t="s">
        <v>33</v>
      </c>
      <c r="P11" s="37" t="s">
        <v>33</v>
      </c>
      <c r="Q11" s="37" t="s">
        <v>33</v>
      </c>
      <c r="R11" s="37" t="s">
        <v>33</v>
      </c>
      <c r="S11" s="37" t="s">
        <v>33</v>
      </c>
      <c r="T11" s="37" t="s">
        <v>33</v>
      </c>
      <c r="U11" s="37" t="s">
        <v>33</v>
      </c>
      <c r="V11" s="37" t="s">
        <v>33</v>
      </c>
      <c r="W11" s="37" t="s">
        <v>33</v>
      </c>
      <c r="X11" s="37" t="s">
        <v>33</v>
      </c>
      <c r="Y11" s="37" t="s">
        <v>33</v>
      </c>
      <c r="Z11" s="37" t="s">
        <v>33</v>
      </c>
      <c r="AA11" s="37" t="s">
        <v>33</v>
      </c>
      <c r="AB11" s="37" t="s">
        <v>33</v>
      </c>
      <c r="AC11" s="37" t="s">
        <v>33</v>
      </c>
      <c r="AD11" s="37" t="s">
        <v>33</v>
      </c>
      <c r="AE11" s="37" t="b">
        <v>0</v>
      </c>
      <c r="AF11" s="37" t="b">
        <v>0</v>
      </c>
      <c r="AG11" s="37" t="b">
        <v>0</v>
      </c>
      <c r="AH11" s="37" t="str">
        <f t="shared" si="1"/>
        <v/>
      </c>
      <c r="AI11" s="42"/>
      <c r="AJ11" s="37" t="s">
        <v>3519</v>
      </c>
    </row>
    <row r="12">
      <c r="A12" s="34" t="s">
        <v>3522</v>
      </c>
      <c r="B12" s="44" t="s">
        <v>3532</v>
      </c>
      <c r="C12" s="39">
        <v>46126.739583333336</v>
      </c>
      <c r="D12" s="37" t="s">
        <v>33</v>
      </c>
      <c r="E12" s="37" t="s">
        <v>33</v>
      </c>
      <c r="F12" s="37" t="s">
        <v>33</v>
      </c>
      <c r="G12" s="37" t="s">
        <v>33</v>
      </c>
      <c r="H12" s="37" t="s">
        <v>33</v>
      </c>
      <c r="I12" s="37" t="s">
        <v>33</v>
      </c>
      <c r="J12" s="37" t="s">
        <v>33</v>
      </c>
      <c r="K12" s="37" t="s">
        <v>33</v>
      </c>
      <c r="L12" s="37" t="s">
        <v>33</v>
      </c>
      <c r="M12" s="37" t="s">
        <v>33</v>
      </c>
      <c r="N12" s="37" t="s">
        <v>33</v>
      </c>
      <c r="O12" s="37" t="s">
        <v>33</v>
      </c>
      <c r="P12" s="37" t="s">
        <v>33</v>
      </c>
      <c r="Q12" s="37" t="s">
        <v>33</v>
      </c>
      <c r="R12" s="37" t="s">
        <v>33</v>
      </c>
      <c r="S12" s="37" t="s">
        <v>33</v>
      </c>
      <c r="T12" s="37" t="s">
        <v>33</v>
      </c>
      <c r="U12" s="37" t="s">
        <v>33</v>
      </c>
      <c r="V12" s="37" t="s">
        <v>33</v>
      </c>
      <c r="W12" s="37" t="s">
        <v>33</v>
      </c>
      <c r="X12" s="37" t="s">
        <v>33</v>
      </c>
      <c r="Y12" s="37" t="s">
        <v>33</v>
      </c>
      <c r="Z12" s="37" t="s">
        <v>33</v>
      </c>
      <c r="AA12" s="37" t="s">
        <v>33</v>
      </c>
      <c r="AB12" s="37" t="s">
        <v>33</v>
      </c>
      <c r="AC12" s="37" t="s">
        <v>33</v>
      </c>
      <c r="AD12" s="37" t="s">
        <v>33</v>
      </c>
      <c r="AE12" s="37" t="b">
        <v>0</v>
      </c>
      <c r="AF12" s="37" t="b">
        <v>0</v>
      </c>
      <c r="AG12" s="37" t="b">
        <v>0</v>
      </c>
      <c r="AH12" s="37" t="str">
        <f t="shared" si="1"/>
        <v/>
      </c>
      <c r="AI12" s="42"/>
      <c r="AJ12" s="37" t="s">
        <v>3519</v>
      </c>
    </row>
    <row r="13">
      <c r="A13" s="34" t="s">
        <v>3522</v>
      </c>
      <c r="B13" s="44" t="s">
        <v>3533</v>
      </c>
      <c r="C13" s="39">
        <v>46126.9</v>
      </c>
      <c r="D13" s="37" t="s">
        <v>33</v>
      </c>
      <c r="E13" s="37" t="s">
        <v>33</v>
      </c>
      <c r="F13" s="37" t="s">
        <v>33</v>
      </c>
      <c r="G13" s="37" t="s">
        <v>33</v>
      </c>
      <c r="H13" s="37" t="s">
        <v>33</v>
      </c>
      <c r="I13" s="37" t="s">
        <v>33</v>
      </c>
      <c r="J13" s="37" t="s">
        <v>33</v>
      </c>
      <c r="K13" s="37" t="s">
        <v>33</v>
      </c>
      <c r="L13" s="37" t="s">
        <v>33</v>
      </c>
      <c r="M13" s="37" t="s">
        <v>33</v>
      </c>
      <c r="N13" s="37" t="s">
        <v>33</v>
      </c>
      <c r="O13" s="37" t="s">
        <v>33</v>
      </c>
      <c r="P13" s="37" t="s">
        <v>33</v>
      </c>
      <c r="Q13" s="37" t="s">
        <v>33</v>
      </c>
      <c r="R13" s="37" t="s">
        <v>33</v>
      </c>
      <c r="S13" s="37" t="s">
        <v>33</v>
      </c>
      <c r="T13" s="37" t="s">
        <v>33</v>
      </c>
      <c r="U13" s="37" t="s">
        <v>33</v>
      </c>
      <c r="V13" s="37" t="s">
        <v>33</v>
      </c>
      <c r="W13" s="37" t="s">
        <v>33</v>
      </c>
      <c r="X13" s="37" t="s">
        <v>33</v>
      </c>
      <c r="Y13" s="37" t="s">
        <v>33</v>
      </c>
      <c r="Z13" s="37" t="s">
        <v>33</v>
      </c>
      <c r="AA13" s="37" t="s">
        <v>33</v>
      </c>
      <c r="AB13" s="37" t="s">
        <v>33</v>
      </c>
      <c r="AC13" s="37" t="s">
        <v>33</v>
      </c>
      <c r="AD13" s="37" t="s">
        <v>33</v>
      </c>
      <c r="AE13" s="37" t="b">
        <v>0</v>
      </c>
      <c r="AF13" s="37" t="b">
        <v>0</v>
      </c>
      <c r="AG13" s="37" t="b">
        <v>0</v>
      </c>
      <c r="AH13" s="37" t="str">
        <f t="shared" si="1"/>
        <v/>
      </c>
      <c r="AI13" s="42"/>
      <c r="AJ13" s="37" t="s">
        <v>3519</v>
      </c>
    </row>
    <row r="14">
      <c r="AD14" s="30" t="s">
        <v>33</v>
      </c>
      <c r="AH14" s="21">
        <f>SUM(AH3:AH13)</f>
        <v>0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2026-06-05T10:07:26Z</dcterms:created>
  <dc:creator>openpyxl</dc:creator>
</cp:coreProperties>
</file>